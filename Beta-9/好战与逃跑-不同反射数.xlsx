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Chuny\Desktop\DataAnalyst\"/>
    </mc:Choice>
  </mc:AlternateContent>
  <xr:revisionPtr revIDLastSave="0" documentId="13_ncr:1_{6EBCD965-35E0-486D-BF83-307E4F407B65}" xr6:coauthVersionLast="47" xr6:coauthVersionMax="47" xr10:uidLastSave="{00000000-0000-0000-0000-000000000000}"/>
  <bookViews>
    <workbookView xWindow="27480" yWindow="3550" windowWidth="21640" windowHeight="15460" xr2:uid="{00000000-000D-0000-FFFF-FFFF00000000}"/>
  </bookViews>
  <sheets>
    <sheet name="sheet" sheetId="1" r:id="rId1"/>
    <sheet name="t-test" sheetId="3" r:id="rId2"/>
  </sheets>
  <definedNames>
    <definedName name="_xlchart.v1.0" hidden="1">sheet!$B$4:$B$35</definedName>
    <definedName name="_xlchart.v1.1" hidden="1">sheet!$C$4:$C$35</definedName>
    <definedName name="_xlchart.v1.10" hidden="1">sheet!$L$4:$L$35</definedName>
    <definedName name="_xlchart.v1.11" hidden="1">sheet!$M$4:$M$35</definedName>
    <definedName name="_xlchart.v1.12" hidden="1">sheet!$N$4:$N$35</definedName>
    <definedName name="_xlchart.v1.13" hidden="1">sheet!$O$4:$O$35</definedName>
    <definedName name="_xlchart.v1.14" hidden="1">sheet!$P$4:$P$35</definedName>
    <definedName name="_xlchart.v1.15" hidden="1">sheet!$Q$4:$Q$35</definedName>
    <definedName name="_xlchart.v1.16" hidden="1">sheet!$R$4:$R$35</definedName>
    <definedName name="_xlchart.v1.17" hidden="1">sheet!$S$4:$S$35</definedName>
    <definedName name="_xlchart.v1.2" hidden="1">sheet!$D$4:$D$35</definedName>
    <definedName name="_xlchart.v1.3" hidden="1">sheet!$E$4:$E$35</definedName>
    <definedName name="_xlchart.v1.4" hidden="1">sheet!$F$4:$F$35</definedName>
    <definedName name="_xlchart.v1.5" hidden="1">sheet!$G$4:$G$35</definedName>
    <definedName name="_xlchart.v1.6" hidden="1">sheet!$H$4:$H$35</definedName>
    <definedName name="_xlchart.v1.7" hidden="1">sheet!$I$4:$I$35</definedName>
    <definedName name="_xlchart.v1.8" hidden="1">sheet!$J$4:$J$35</definedName>
    <definedName name="_xlchart.v1.9" hidden="1">sheet!$K$4:$K$35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56" i="1" l="1"/>
  <c r="R56" i="1"/>
  <c r="S56" i="1"/>
  <c r="T56" i="1"/>
  <c r="U56" i="1"/>
  <c r="V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B56" i="1"/>
  <c r="V42" i="3"/>
  <c r="V41" i="3"/>
  <c r="U41" i="3"/>
  <c r="R41" i="3"/>
  <c r="G42" i="3"/>
  <c r="P47" i="3"/>
  <c r="P46" i="3"/>
  <c r="O46" i="3"/>
  <c r="P45" i="3"/>
  <c r="O45" i="3"/>
  <c r="N45" i="3"/>
  <c r="J47" i="3"/>
  <c r="J46" i="3"/>
  <c r="I46" i="3"/>
  <c r="J45" i="3"/>
  <c r="I45" i="3"/>
  <c r="H45" i="3"/>
  <c r="D47" i="3"/>
  <c r="D46" i="3"/>
  <c r="C46" i="3"/>
  <c r="D45" i="3"/>
  <c r="C45" i="3"/>
  <c r="B45" i="3"/>
  <c r="S41" i="3"/>
  <c r="S42" i="3"/>
  <c r="M42" i="3"/>
  <c r="M41" i="3"/>
  <c r="L41" i="3"/>
  <c r="G41" i="3"/>
  <c r="F41" i="3"/>
  <c r="I41" i="3"/>
  <c r="J42" i="3"/>
  <c r="J41" i="3"/>
  <c r="P42" i="3"/>
  <c r="P41" i="3"/>
  <c r="O41" i="3"/>
  <c r="D42" i="3"/>
  <c r="D41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B37" i="3"/>
  <c r="C41" i="3"/>
  <c r="R38" i="3"/>
  <c r="Q38" i="3"/>
  <c r="L38" i="3"/>
  <c r="K38" i="3"/>
  <c r="F38" i="3"/>
  <c r="E38" i="3"/>
  <c r="S38" i="3"/>
  <c r="G38" i="3"/>
  <c r="H38" i="3"/>
  <c r="I38" i="3"/>
  <c r="J38" i="3"/>
  <c r="M38" i="3"/>
  <c r="N38" i="3"/>
  <c r="O38" i="3"/>
  <c r="P38" i="3"/>
  <c r="D38" i="3"/>
  <c r="C38" i="3"/>
  <c r="B38" i="3"/>
</calcChain>
</file>

<file path=xl/sharedStrings.xml><?xml version="1.0" encoding="utf-8"?>
<sst xmlns="http://schemas.openxmlformats.org/spreadsheetml/2006/main" count="35" uniqueCount="14">
  <si>
    <t>反射次数</t>
    <phoneticPr fontId="2" type="noConversion"/>
  </si>
  <si>
    <t>战斗</t>
  </si>
  <si>
    <t>战斗</t>
    <phoneticPr fontId="2" type="noConversion"/>
  </si>
  <si>
    <t>逃跑</t>
  </si>
  <si>
    <t>逃跑</t>
    <phoneticPr fontId="2" type="noConversion"/>
  </si>
  <si>
    <t>击中数/s</t>
    <phoneticPr fontId="2" type="noConversion"/>
  </si>
  <si>
    <t>击杀数/s</t>
    <phoneticPr fontId="2" type="noConversion"/>
  </si>
  <si>
    <t>生存时间s</t>
    <phoneticPr fontId="2" type="noConversion"/>
  </si>
  <si>
    <t>标准差</t>
  </si>
  <si>
    <t>标准差</t>
    <phoneticPr fontId="2" type="noConversion"/>
  </si>
  <si>
    <t>平均值</t>
  </si>
  <si>
    <t>平均值</t>
    <phoneticPr fontId="2" type="noConversion"/>
  </si>
  <si>
    <t>拾取道具/s</t>
    <phoneticPr fontId="2" type="noConversion"/>
  </si>
  <si>
    <t>中位数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</si>
</sst>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2" borderId="0" xfId="1" applyAlignment="1"/>
    <xf numFmtId="0" fontId="0" fillId="0" borderId="0" xfId="0" applyAlignment="1">
      <alignment horizontal="center"/>
    </xf>
  </cellXfs>
  <cellStyles count="2">
    <cellStyle name="常规" xfId="0" builtinId="0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  <cx:data id="1">
      <cx:numDim type="val">
        <cx:f>_xlchart.v1.13</cx:f>
      </cx:numDim>
    </cx:data>
    <cx:data id="2">
      <cx:numDim type="val">
        <cx:f>_xlchart.v1.14</cx:f>
      </cx:numDim>
    </cx:data>
    <cx:data id="3">
      <cx:numDim type="val">
        <cx:f>_xlchart.v1.15</cx:f>
      </cx:numDim>
    </cx:data>
    <cx:data id="4">
      <cx:numDim type="val">
        <cx:f>_xlchart.v1.16</cx:f>
      </cx:numDim>
    </cx:data>
    <cx:data id="5">
      <cx:numDim type="val">
        <cx:f>_xlchart.v1.17</cx:f>
      </cx:numDim>
    </cx:data>
  </cx:chartData>
  <cx:chart>
    <cx:plotArea>
      <cx:plotAreaRegion>
        <cx:series layoutId="boxWhisker" uniqueId="{1EABC1E4-02ED-41B4-AA21-94570CBE95FC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EB29E0C-3094-4F8A-B8AD-129F14DA8BB3}"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597F7C05-108A-4F34-A0BF-558A10296788}"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75A7BC3-F2F6-4EC6-8B18-779D29BDBC24}"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857CAD9F-D288-407C-B0A2-6995A9EDA7C5}"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19C9DAFF-1162-42D3-B5AE-001225E300B6}"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  <cx:data id="2">
      <cx:numDim type="val">
        <cx:f>_xlchart.v1.2</cx:f>
      </cx:numDim>
    </cx:data>
    <cx:data id="3">
      <cx:numDim type="val">
        <cx:f>_xlchart.v1.3</cx:f>
      </cx:numDim>
    </cx:data>
    <cx:data id="4">
      <cx:numDim type="val">
        <cx:f>_xlchart.v1.4</cx:f>
      </cx:numDim>
    </cx:data>
    <cx:data id="5">
      <cx:numDim type="val">
        <cx:f>_xlchart.v1.5</cx:f>
      </cx:numDim>
    </cx:data>
  </cx:chartData>
  <cx:chart>
    <cx:plotArea>
      <cx:plotAreaRegion>
        <cx:series layoutId="boxWhisker" uniqueId="{3940834A-6A87-485B-9862-A619FFF8B6AB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96A676C-7CBA-4930-A8FE-87C9FAD11713}"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16CEDE6-933D-4D6D-BA60-9925BE43B7C6}"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937DA7EC-5CBC-4F4F-A395-DDA1A15306B0}"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A0FFE5CF-D0AC-4B56-95CE-A46ABFB0CF99}"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F8B47B1E-73A0-48B3-8988-B3677094A607}"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  <cx:data id="1">
      <cx:numDim type="val">
        <cx:f>_xlchart.v1.7</cx:f>
      </cx:numDim>
    </cx:data>
    <cx:data id="2">
      <cx:numDim type="val">
        <cx:f>_xlchart.v1.8</cx:f>
      </cx:numDim>
    </cx:data>
    <cx:data id="3">
      <cx:numDim type="val">
        <cx:f>_xlchart.v1.9</cx:f>
      </cx:numDim>
    </cx:data>
    <cx:data id="4">
      <cx:numDim type="val">
        <cx:f>_xlchart.v1.10</cx:f>
      </cx:numDim>
    </cx:data>
    <cx:data id="5">
      <cx:numDim type="val">
        <cx:f>_xlchart.v1.11</cx:f>
      </cx:numDim>
    </cx:data>
  </cx:chartData>
  <cx:chart>
    <cx:plotArea>
      <cx:plotAreaRegion>
        <cx:series layoutId="boxWhisker" uniqueId="{E8457935-C2B3-433D-BF12-D320165B29CE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5543EA6-4D97-405C-B3A9-2FB02B9EE8EE}"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D3CBB78D-0033-4B5F-9D83-06DBA90ECA71}"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192A72DC-04B9-41F4-A789-36304DE1BF6D}"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FF78E456-C9BE-436D-95AF-3E95D291DFC6}"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97DF5B3E-5AA0-4941-8BEC-0F9FF5AA7137}"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35</xdr:row>
      <xdr:rowOff>34925</xdr:rowOff>
    </xdr:from>
    <xdr:to>
      <xdr:col>18</xdr:col>
      <xdr:colOff>635000</xdr:colOff>
      <xdr:row>54</xdr:row>
      <xdr:rowOff>44451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5B21DF03-5E4D-47B8-AAB3-56F2B5048E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5200" y="6257925"/>
              <a:ext cx="3937000" cy="33877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</xdr:col>
      <xdr:colOff>12700</xdr:colOff>
      <xdr:row>35</xdr:row>
      <xdr:rowOff>41274</xdr:rowOff>
    </xdr:from>
    <xdr:to>
      <xdr:col>7</xdr:col>
      <xdr:colOff>6350</xdr:colOff>
      <xdr:row>54</xdr:row>
      <xdr:rowOff>19049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142F3465-5256-47F5-AC8C-72716FE14B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3100" y="6264274"/>
              <a:ext cx="3956050" cy="3355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7</xdr:col>
      <xdr:colOff>19050</xdr:colOff>
      <xdr:row>35</xdr:row>
      <xdr:rowOff>47624</xdr:rowOff>
    </xdr:from>
    <xdr:to>
      <xdr:col>12</xdr:col>
      <xdr:colOff>641350</xdr:colOff>
      <xdr:row>54</xdr:row>
      <xdr:rowOff>25399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图表 3">
              <a:extLst>
                <a:ext uri="{FF2B5EF4-FFF2-40B4-BE49-F238E27FC236}">
                  <a16:creationId xmlns:a16="http://schemas.microsoft.com/office/drawing/2014/main" id="{B509FF35-F297-482C-A930-02E610B0A5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41850" y="6270624"/>
              <a:ext cx="3924300" cy="3355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7"/>
  <sheetViews>
    <sheetView tabSelected="1" topLeftCell="A10" workbookViewId="0">
      <selection activeCell="V52" sqref="V52"/>
    </sheetView>
  </sheetViews>
  <sheetFormatPr defaultRowHeight="14" x14ac:dyDescent="0.3"/>
  <sheetData>
    <row r="1" spans="1:25" x14ac:dyDescent="0.3">
      <c r="A1" s="3" t="s">
        <v>5</v>
      </c>
      <c r="B1" s="3"/>
      <c r="C1" s="3"/>
      <c r="D1" s="3"/>
      <c r="E1" s="3"/>
      <c r="F1" s="3"/>
      <c r="G1" s="3"/>
      <c r="H1" s="3" t="s">
        <v>6</v>
      </c>
      <c r="I1" s="3"/>
      <c r="J1" s="3"/>
      <c r="K1" s="3"/>
      <c r="L1" s="3"/>
      <c r="M1" s="3"/>
      <c r="N1" s="3" t="s">
        <v>7</v>
      </c>
      <c r="O1" s="3"/>
      <c r="P1" s="3"/>
      <c r="Q1" s="3"/>
      <c r="R1" s="3"/>
      <c r="S1" s="3"/>
      <c r="T1" s="3" t="s">
        <v>12</v>
      </c>
      <c r="U1" s="3"/>
      <c r="V1" s="3"/>
      <c r="W1" s="3"/>
      <c r="X1" s="3"/>
      <c r="Y1" s="3"/>
    </row>
    <row r="2" spans="1:25" x14ac:dyDescent="0.3">
      <c r="B2" s="3" t="s">
        <v>2</v>
      </c>
      <c r="C2" s="3"/>
      <c r="D2" s="3"/>
      <c r="E2" s="3" t="s">
        <v>4</v>
      </c>
      <c r="F2" s="3"/>
      <c r="G2" s="3"/>
      <c r="H2" s="3" t="s">
        <v>2</v>
      </c>
      <c r="I2" s="3"/>
      <c r="J2" s="3"/>
      <c r="K2" s="3" t="s">
        <v>4</v>
      </c>
      <c r="L2" s="3"/>
      <c r="M2" s="3"/>
      <c r="N2" s="3" t="s">
        <v>2</v>
      </c>
      <c r="O2" s="3"/>
      <c r="P2" s="3"/>
      <c r="Q2" s="3" t="s">
        <v>4</v>
      </c>
      <c r="R2" s="3"/>
      <c r="S2" s="3"/>
      <c r="T2" s="3" t="s">
        <v>2</v>
      </c>
      <c r="U2" s="3"/>
      <c r="V2" s="3"/>
      <c r="W2" s="3" t="s">
        <v>4</v>
      </c>
      <c r="X2" s="3"/>
      <c r="Y2" s="3"/>
    </row>
    <row r="3" spans="1:25" x14ac:dyDescent="0.3">
      <c r="A3" t="s">
        <v>0</v>
      </c>
      <c r="B3">
        <v>1</v>
      </c>
      <c r="C3">
        <v>2</v>
      </c>
      <c r="D3">
        <v>3</v>
      </c>
      <c r="E3">
        <v>1</v>
      </c>
      <c r="F3">
        <v>2</v>
      </c>
      <c r="G3">
        <v>3</v>
      </c>
      <c r="H3">
        <v>1</v>
      </c>
      <c r="I3">
        <v>2</v>
      </c>
      <c r="J3">
        <v>3</v>
      </c>
      <c r="K3">
        <v>1</v>
      </c>
      <c r="L3">
        <v>2</v>
      </c>
      <c r="M3">
        <v>3</v>
      </c>
      <c r="N3">
        <v>1</v>
      </c>
      <c r="O3">
        <v>2</v>
      </c>
      <c r="P3">
        <v>3</v>
      </c>
      <c r="Q3">
        <v>1</v>
      </c>
      <c r="R3">
        <v>2</v>
      </c>
      <c r="S3">
        <v>3</v>
      </c>
      <c r="T3">
        <v>1</v>
      </c>
      <c r="U3">
        <v>2</v>
      </c>
      <c r="V3">
        <v>3</v>
      </c>
      <c r="W3">
        <v>1</v>
      </c>
      <c r="X3">
        <v>2</v>
      </c>
      <c r="Y3">
        <v>3</v>
      </c>
    </row>
    <row r="4" spans="1:25" x14ac:dyDescent="0.3">
      <c r="B4" s="1">
        <v>1.8604651160000001</v>
      </c>
      <c r="C4" s="1">
        <v>1.7959183670000001</v>
      </c>
      <c r="D4" s="1">
        <v>2.886363636</v>
      </c>
      <c r="E4">
        <v>1.0667808219178083</v>
      </c>
      <c r="F4">
        <v>1.7438271604938271</v>
      </c>
      <c r="G4">
        <v>1.6923076923076923</v>
      </c>
      <c r="H4" s="1">
        <v>0.11627907</v>
      </c>
      <c r="I4" s="1">
        <v>8.1632652999999999E-2</v>
      </c>
      <c r="J4" s="1">
        <v>0.13636363600000001</v>
      </c>
      <c r="K4">
        <v>1.8835616438356163E-2</v>
      </c>
      <c r="L4">
        <v>3.7037037037037035E-2</v>
      </c>
      <c r="M4">
        <v>4.6153846153846156E-2</v>
      </c>
      <c r="N4" s="1">
        <v>86</v>
      </c>
      <c r="O4" s="1">
        <v>49</v>
      </c>
      <c r="P4" s="1">
        <v>44</v>
      </c>
      <c r="Q4" s="1">
        <v>584</v>
      </c>
      <c r="R4" s="1">
        <v>324</v>
      </c>
      <c r="S4">
        <v>195</v>
      </c>
      <c r="T4">
        <v>0.10465116279069768</v>
      </c>
      <c r="U4">
        <v>8.1632653061224483E-2</v>
      </c>
      <c r="V4">
        <v>6.8181818181818177E-2</v>
      </c>
    </row>
    <row r="5" spans="1:25" x14ac:dyDescent="0.3">
      <c r="B5" s="1">
        <v>2.0632911389999999</v>
      </c>
      <c r="C5" s="1">
        <v>3.2083333330000001</v>
      </c>
      <c r="D5" s="1">
        <v>2.7857142860000002</v>
      </c>
      <c r="E5">
        <v>0.92601431980906923</v>
      </c>
      <c r="F5">
        <v>1.797752808988764</v>
      </c>
      <c r="G5">
        <v>1.8308823529411764</v>
      </c>
      <c r="H5" s="1">
        <v>0.113924051</v>
      </c>
      <c r="I5" s="1">
        <v>0.16666666699999999</v>
      </c>
      <c r="J5" s="1">
        <v>0.16666666699999999</v>
      </c>
      <c r="K5">
        <v>7.1599045346062056E-3</v>
      </c>
      <c r="L5">
        <v>3.9325842696629212E-2</v>
      </c>
      <c r="M5">
        <v>5.8823529411764705E-2</v>
      </c>
      <c r="N5" s="1">
        <v>79</v>
      </c>
      <c r="O5" s="1">
        <v>48</v>
      </c>
      <c r="P5" s="1">
        <v>42</v>
      </c>
      <c r="Q5" s="1">
        <v>419</v>
      </c>
      <c r="R5" s="1">
        <v>178</v>
      </c>
      <c r="S5">
        <v>136</v>
      </c>
      <c r="T5">
        <v>0.20253164556962025</v>
      </c>
      <c r="U5">
        <v>0.10416666666666667</v>
      </c>
      <c r="V5">
        <v>9.5238095238095233E-2</v>
      </c>
    </row>
    <row r="6" spans="1:25" x14ac:dyDescent="0.3">
      <c r="B6" s="1">
        <v>1.62295082</v>
      </c>
      <c r="C6" s="1">
        <v>2.25</v>
      </c>
      <c r="D6" s="1">
        <v>3.2439024390000002</v>
      </c>
      <c r="E6">
        <v>1.2334630350194553</v>
      </c>
      <c r="F6">
        <v>1.7371794871794872</v>
      </c>
      <c r="G6">
        <v>1.5680000000000001</v>
      </c>
      <c r="H6" s="1">
        <v>6.5573770000000003E-2</v>
      </c>
      <c r="I6" s="1">
        <v>0.113636364</v>
      </c>
      <c r="J6" s="1">
        <v>0.17073170700000001</v>
      </c>
      <c r="K6">
        <v>2.7237354085603113E-2</v>
      </c>
      <c r="L6">
        <v>5.128205128205128E-2</v>
      </c>
      <c r="M6">
        <v>8.0000000000000002E-3</v>
      </c>
      <c r="N6" s="1">
        <v>61</v>
      </c>
      <c r="O6" s="1">
        <v>44</v>
      </c>
      <c r="P6" s="1">
        <v>41</v>
      </c>
      <c r="Q6" s="1">
        <v>257</v>
      </c>
      <c r="R6" s="1">
        <v>156</v>
      </c>
      <c r="S6">
        <v>125</v>
      </c>
      <c r="T6">
        <v>3.2786885245901641E-2</v>
      </c>
      <c r="U6">
        <v>6.8181818181818177E-2</v>
      </c>
      <c r="V6">
        <v>0.12195121951219512</v>
      </c>
    </row>
    <row r="7" spans="1:25" x14ac:dyDescent="0.3">
      <c r="B7" s="1">
        <v>1.9814814810000001</v>
      </c>
      <c r="C7" s="1">
        <v>2.4883720930000002</v>
      </c>
      <c r="D7" s="1">
        <v>2.2250000000000001</v>
      </c>
      <c r="E7">
        <v>1.349112426035503</v>
      </c>
      <c r="F7">
        <v>1.7832167832167831</v>
      </c>
      <c r="G7">
        <v>1.5700934579439252</v>
      </c>
      <c r="H7" s="1">
        <v>0.12962963</v>
      </c>
      <c r="I7" s="1">
        <v>9.3023255999999999E-2</v>
      </c>
      <c r="J7" s="1">
        <v>0.1</v>
      </c>
      <c r="K7">
        <v>2.9585798816568046E-2</v>
      </c>
      <c r="L7">
        <v>4.8951048951048952E-2</v>
      </c>
      <c r="M7">
        <v>3.7383177570093455E-2</v>
      </c>
      <c r="N7" s="1">
        <v>54</v>
      </c>
      <c r="O7" s="1">
        <v>43</v>
      </c>
      <c r="P7" s="1">
        <v>40</v>
      </c>
      <c r="Q7" s="1">
        <v>169</v>
      </c>
      <c r="R7" s="1">
        <v>143</v>
      </c>
      <c r="S7">
        <v>107</v>
      </c>
      <c r="T7">
        <v>9.2592592592592587E-2</v>
      </c>
      <c r="U7">
        <v>4.6511627906976744E-2</v>
      </c>
      <c r="V7">
        <v>2.5000000000000001E-2</v>
      </c>
    </row>
    <row r="8" spans="1:25" x14ac:dyDescent="0.3">
      <c r="B8" s="1">
        <v>2.358490566</v>
      </c>
      <c r="C8" s="1">
        <v>2.3023255809999998</v>
      </c>
      <c r="D8" s="1">
        <v>2.0499999999999998</v>
      </c>
      <c r="E8">
        <v>1.0487804878048781</v>
      </c>
      <c r="F8">
        <v>1.653225806451613</v>
      </c>
      <c r="G8">
        <v>1.9019607843137254</v>
      </c>
      <c r="H8" s="1">
        <v>0.11320754700000001</v>
      </c>
      <c r="I8" s="1">
        <v>6.9767441999999999E-2</v>
      </c>
      <c r="J8" s="1">
        <v>0.125</v>
      </c>
      <c r="K8">
        <v>1.8292682926829267E-2</v>
      </c>
      <c r="L8">
        <v>3.2258064516129031E-2</v>
      </c>
      <c r="M8">
        <v>3.9215686274509803E-2</v>
      </c>
      <c r="N8" s="1">
        <v>53</v>
      </c>
      <c r="O8" s="1">
        <v>43</v>
      </c>
      <c r="P8" s="1">
        <v>40</v>
      </c>
      <c r="Q8" s="1">
        <v>164</v>
      </c>
      <c r="R8" s="1">
        <v>124</v>
      </c>
      <c r="S8">
        <v>102</v>
      </c>
      <c r="T8">
        <v>0.11320754716981132</v>
      </c>
      <c r="U8">
        <v>2.3255813953488372E-2</v>
      </c>
      <c r="V8">
        <v>0.125</v>
      </c>
    </row>
    <row r="9" spans="1:25" x14ac:dyDescent="0.3">
      <c r="B9" s="1">
        <v>1.711538462</v>
      </c>
      <c r="C9" s="1">
        <v>2.486486486</v>
      </c>
      <c r="D9" s="1">
        <v>2.7105263160000002</v>
      </c>
      <c r="E9">
        <v>1.4506172839506173</v>
      </c>
      <c r="F9">
        <v>2.2905982905982905</v>
      </c>
      <c r="G9">
        <v>1.901098901098901</v>
      </c>
      <c r="H9" s="1">
        <v>0.115384615</v>
      </c>
      <c r="I9" s="1">
        <v>8.1081080999999999E-2</v>
      </c>
      <c r="J9" s="1">
        <v>0.131578947</v>
      </c>
      <c r="K9">
        <v>2.4691358024691357E-2</v>
      </c>
      <c r="L9">
        <v>8.5470085470085472E-2</v>
      </c>
      <c r="M9">
        <v>4.3956043956043959E-2</v>
      </c>
      <c r="N9" s="1">
        <v>52</v>
      </c>
      <c r="O9" s="1">
        <v>37</v>
      </c>
      <c r="P9" s="1">
        <v>38</v>
      </c>
      <c r="Q9" s="1">
        <v>162</v>
      </c>
      <c r="R9" s="1">
        <v>117</v>
      </c>
      <c r="S9">
        <v>91</v>
      </c>
      <c r="T9">
        <v>9.6153846153846159E-2</v>
      </c>
      <c r="U9">
        <v>2.7027027027027029E-2</v>
      </c>
      <c r="V9">
        <v>5.2631578947368418E-2</v>
      </c>
    </row>
    <row r="10" spans="1:25" x14ac:dyDescent="0.3">
      <c r="B10" s="1">
        <v>2.1666666669999999</v>
      </c>
      <c r="C10" s="1">
        <v>3.0555555559999998</v>
      </c>
      <c r="D10" s="1">
        <v>3.1944444440000002</v>
      </c>
      <c r="E10">
        <v>1.2094594594594594</v>
      </c>
      <c r="F10">
        <v>1.8771929824561404</v>
      </c>
      <c r="G10">
        <v>1.4444444444444444</v>
      </c>
      <c r="H10" s="1">
        <v>8.3333332999999996E-2</v>
      </c>
      <c r="I10" s="1">
        <v>0.19444444399999999</v>
      </c>
      <c r="J10" s="1">
        <v>0.13888888899999999</v>
      </c>
      <c r="K10">
        <v>2.7027027027027029E-2</v>
      </c>
      <c r="L10">
        <v>4.3859649122807015E-2</v>
      </c>
      <c r="M10">
        <v>2.2222222222222223E-2</v>
      </c>
      <c r="N10" s="1">
        <v>48</v>
      </c>
      <c r="O10" s="1">
        <v>36</v>
      </c>
      <c r="P10" s="1">
        <v>36</v>
      </c>
      <c r="Q10" s="1">
        <v>148</v>
      </c>
      <c r="R10" s="1">
        <v>114</v>
      </c>
      <c r="S10">
        <v>90</v>
      </c>
      <c r="T10">
        <v>8.3333333333333329E-2</v>
      </c>
      <c r="U10">
        <v>0.1111111111111111</v>
      </c>
      <c r="V10">
        <v>0.1111111111111111</v>
      </c>
    </row>
    <row r="11" spans="1:25" x14ac:dyDescent="0.3">
      <c r="B11" s="1">
        <v>1.6041666670000001</v>
      </c>
      <c r="C11" s="1">
        <v>2.6176470589999998</v>
      </c>
      <c r="D11" s="1">
        <v>2.5714285710000002</v>
      </c>
      <c r="E11">
        <v>1.5069444444444444</v>
      </c>
      <c r="F11">
        <v>1.5357142857142858</v>
      </c>
      <c r="G11">
        <v>1.9146341463414633</v>
      </c>
      <c r="H11" s="1">
        <v>8.3333332999999996E-2</v>
      </c>
      <c r="I11" s="1">
        <v>0.117647059</v>
      </c>
      <c r="J11" s="1">
        <v>8.5714286000000001E-2</v>
      </c>
      <c r="K11">
        <v>3.4722222222222224E-2</v>
      </c>
      <c r="L11">
        <v>2.6785714285714284E-2</v>
      </c>
      <c r="M11">
        <v>7.3170731707317069E-2</v>
      </c>
      <c r="N11" s="1">
        <v>48</v>
      </c>
      <c r="O11" s="1">
        <v>34</v>
      </c>
      <c r="P11" s="1">
        <v>35</v>
      </c>
      <c r="Q11" s="1">
        <v>144</v>
      </c>
      <c r="R11" s="1">
        <v>112</v>
      </c>
      <c r="S11">
        <v>82</v>
      </c>
      <c r="T11">
        <v>6.25E-2</v>
      </c>
      <c r="U11">
        <v>8.8235294117647065E-2</v>
      </c>
      <c r="V11">
        <v>5.7142857142857141E-2</v>
      </c>
    </row>
    <row r="12" spans="1:25" x14ac:dyDescent="0.3">
      <c r="B12" s="1">
        <v>2</v>
      </c>
      <c r="C12" s="1">
        <v>2.575757576</v>
      </c>
      <c r="D12" s="1">
        <v>2.9090909090000001</v>
      </c>
      <c r="E12">
        <v>1.2613636363636365</v>
      </c>
      <c r="F12">
        <v>1.5596330275229358</v>
      </c>
      <c r="G12">
        <v>1.9871794871794872</v>
      </c>
      <c r="H12" s="1">
        <v>0.108695652</v>
      </c>
      <c r="I12" s="1">
        <v>9.0909090999999997E-2</v>
      </c>
      <c r="J12" s="1">
        <v>0.15151515199999999</v>
      </c>
      <c r="K12">
        <v>2.2727272727272728E-2</v>
      </c>
      <c r="L12">
        <v>3.669724770642202E-2</v>
      </c>
      <c r="M12">
        <v>3.8461538461538464E-2</v>
      </c>
      <c r="N12" s="1">
        <v>46</v>
      </c>
      <c r="O12" s="1">
        <v>33</v>
      </c>
      <c r="P12" s="1">
        <v>33</v>
      </c>
      <c r="Q12" s="1">
        <v>88</v>
      </c>
      <c r="R12" s="1">
        <v>109</v>
      </c>
      <c r="S12">
        <v>78</v>
      </c>
      <c r="T12">
        <v>8.6956521739130432E-2</v>
      </c>
      <c r="U12">
        <v>6.0606060606060608E-2</v>
      </c>
      <c r="V12">
        <v>9.0909090909090912E-2</v>
      </c>
    </row>
    <row r="13" spans="1:25" x14ac:dyDescent="0.3">
      <c r="B13" s="1">
        <v>1.326086957</v>
      </c>
      <c r="C13" s="1">
        <v>2.1212121210000001</v>
      </c>
      <c r="D13" s="1">
        <v>2.5454545450000001</v>
      </c>
      <c r="E13">
        <v>1.4197530864197532</v>
      </c>
      <c r="F13">
        <v>1.8490566037735849</v>
      </c>
      <c r="G13">
        <v>2.0135135135135136</v>
      </c>
      <c r="H13" s="1">
        <v>4.3478260999999997E-2</v>
      </c>
      <c r="I13" s="1">
        <v>9.0909090999999997E-2</v>
      </c>
      <c r="J13" s="1">
        <v>0.12121212100000001</v>
      </c>
      <c r="K13">
        <v>6.1728395061728392E-2</v>
      </c>
      <c r="L13">
        <v>5.6603773584905662E-2</v>
      </c>
      <c r="M13">
        <v>6.7567567567567571E-2</v>
      </c>
      <c r="N13" s="1">
        <v>46</v>
      </c>
      <c r="O13" s="1">
        <v>33</v>
      </c>
      <c r="P13" s="1">
        <v>33</v>
      </c>
      <c r="Q13" s="1">
        <v>81</v>
      </c>
      <c r="R13" s="1">
        <v>106</v>
      </c>
      <c r="S13">
        <v>74</v>
      </c>
      <c r="T13">
        <v>4.3478260869565216E-2</v>
      </c>
      <c r="U13">
        <v>6.0606060606060608E-2</v>
      </c>
      <c r="V13">
        <v>9.0909090909090912E-2</v>
      </c>
    </row>
    <row r="14" spans="1:25" x14ac:dyDescent="0.3">
      <c r="B14" s="1">
        <v>2.3023255809999998</v>
      </c>
      <c r="C14" s="1">
        <v>2.9354838710000002</v>
      </c>
      <c r="D14" s="1">
        <v>3.0333333329999999</v>
      </c>
      <c r="E14">
        <v>1.3766233766233766</v>
      </c>
      <c r="F14">
        <v>2.2173913043478262</v>
      </c>
      <c r="G14">
        <v>2.7222222222222223</v>
      </c>
      <c r="H14" s="1">
        <v>0.139534884</v>
      </c>
      <c r="I14" s="1">
        <v>9.6774193999999994E-2</v>
      </c>
      <c r="J14" s="1">
        <v>0.133333333</v>
      </c>
      <c r="K14">
        <v>2.5974025974025976E-2</v>
      </c>
      <c r="L14">
        <v>7.6086956521739135E-2</v>
      </c>
      <c r="M14">
        <v>9.7222222222222224E-2</v>
      </c>
      <c r="N14" s="1">
        <v>43</v>
      </c>
      <c r="O14" s="1">
        <v>31</v>
      </c>
      <c r="P14" s="1">
        <v>30</v>
      </c>
      <c r="Q14" s="1">
        <v>77</v>
      </c>
      <c r="R14" s="1">
        <v>92</v>
      </c>
      <c r="S14">
        <v>72</v>
      </c>
      <c r="T14">
        <v>9.3023255813953487E-2</v>
      </c>
      <c r="U14">
        <v>9.6774193548387094E-2</v>
      </c>
      <c r="V14">
        <v>0.1</v>
      </c>
    </row>
    <row r="15" spans="1:25" x14ac:dyDescent="0.3">
      <c r="B15" s="1">
        <v>2.1714285709999999</v>
      </c>
      <c r="C15" s="1">
        <v>2.766666667</v>
      </c>
      <c r="D15" s="1">
        <v>2.5862068969999998</v>
      </c>
      <c r="E15">
        <v>1.4821428571428572</v>
      </c>
      <c r="F15">
        <v>2.0329670329670328</v>
      </c>
      <c r="G15">
        <v>1.9305555555555556</v>
      </c>
      <c r="H15" s="1">
        <v>0.114285714</v>
      </c>
      <c r="I15" s="1">
        <v>0.16666666699999999</v>
      </c>
      <c r="J15" s="1">
        <v>0.13793103400000001</v>
      </c>
      <c r="K15">
        <v>3.5714285714285712E-2</v>
      </c>
      <c r="L15">
        <v>7.6923076923076927E-2</v>
      </c>
      <c r="M15">
        <v>6.9444444444444448E-2</v>
      </c>
      <c r="N15" s="1">
        <v>35</v>
      </c>
      <c r="O15" s="1">
        <v>30</v>
      </c>
      <c r="P15" s="1">
        <v>29</v>
      </c>
      <c r="Q15" s="1">
        <v>56</v>
      </c>
      <c r="R15" s="1">
        <v>91</v>
      </c>
      <c r="S15">
        <v>72</v>
      </c>
      <c r="T15">
        <v>5.7142857142857141E-2</v>
      </c>
      <c r="U15">
        <v>0.1</v>
      </c>
      <c r="V15">
        <v>0</v>
      </c>
    </row>
    <row r="16" spans="1:25" x14ac:dyDescent="0.3">
      <c r="B16" s="1">
        <v>2.3235294120000001</v>
      </c>
      <c r="C16" s="1">
        <v>2.3571428569999999</v>
      </c>
      <c r="D16" s="1">
        <v>3.3571428569999999</v>
      </c>
      <c r="E16">
        <v>1.5714285714285714</v>
      </c>
      <c r="F16">
        <v>1.6067415730337078</v>
      </c>
      <c r="G16">
        <v>1.9577464788732395</v>
      </c>
      <c r="H16" s="1">
        <v>8.8235294000000006E-2</v>
      </c>
      <c r="I16" s="1">
        <v>0.10714285699999999</v>
      </c>
      <c r="J16" s="1">
        <v>0.21428571399999999</v>
      </c>
      <c r="K16">
        <v>4.7619047619047616E-2</v>
      </c>
      <c r="L16">
        <v>2.247191011235955E-2</v>
      </c>
      <c r="M16">
        <v>5.6338028169014086E-2</v>
      </c>
      <c r="N16" s="1">
        <v>34</v>
      </c>
      <c r="O16" s="1">
        <v>28</v>
      </c>
      <c r="P16" s="1">
        <v>28</v>
      </c>
      <c r="Q16" s="1">
        <v>21</v>
      </c>
      <c r="R16" s="1">
        <v>89</v>
      </c>
      <c r="S16">
        <v>71</v>
      </c>
      <c r="T16">
        <v>5.8823529411764705E-2</v>
      </c>
      <c r="U16">
        <v>7.1428571428571425E-2</v>
      </c>
      <c r="V16">
        <v>7.1428571428571425E-2</v>
      </c>
    </row>
    <row r="17" spans="2:22" x14ac:dyDescent="0.3">
      <c r="B17" s="1">
        <v>2.1764705879999999</v>
      </c>
      <c r="C17" s="1">
        <v>2.1851851849999999</v>
      </c>
      <c r="D17" s="1">
        <v>3.28</v>
      </c>
      <c r="F17">
        <v>1.9318181818181819</v>
      </c>
      <c r="G17">
        <v>1.5507246376811594</v>
      </c>
      <c r="H17" s="1">
        <v>8.8235294000000006E-2</v>
      </c>
      <c r="I17" s="1">
        <v>0.111111111</v>
      </c>
      <c r="J17" s="1">
        <v>0.16</v>
      </c>
      <c r="L17">
        <v>4.5454545454545456E-2</v>
      </c>
      <c r="M17">
        <v>4.3478260869565216E-2</v>
      </c>
      <c r="N17" s="1">
        <v>34</v>
      </c>
      <c r="O17" s="1">
        <v>27</v>
      </c>
      <c r="P17" s="1">
        <v>25</v>
      </c>
      <c r="R17" s="1">
        <v>88</v>
      </c>
      <c r="S17">
        <v>69</v>
      </c>
      <c r="T17">
        <v>2.9411764705882353E-2</v>
      </c>
      <c r="U17">
        <v>3.7037037037037035E-2</v>
      </c>
      <c r="V17">
        <v>0.12</v>
      </c>
    </row>
    <row r="18" spans="2:22" x14ac:dyDescent="0.3">
      <c r="B18" s="1">
        <v>1.705882353</v>
      </c>
      <c r="C18" s="1">
        <v>2.1481481480000002</v>
      </c>
      <c r="D18" s="1">
        <v>3.04</v>
      </c>
      <c r="F18">
        <v>1.9315068493150684</v>
      </c>
      <c r="G18">
        <v>2.4202898550724639</v>
      </c>
      <c r="H18" s="1">
        <v>8.8235294000000006E-2</v>
      </c>
      <c r="I18" s="1">
        <v>7.4074074000000004E-2</v>
      </c>
      <c r="J18" s="1">
        <v>0.08</v>
      </c>
      <c r="L18">
        <v>5.4794520547945202E-2</v>
      </c>
      <c r="M18">
        <v>0.10144927536231885</v>
      </c>
      <c r="N18" s="1">
        <v>34</v>
      </c>
      <c r="O18" s="1">
        <v>27</v>
      </c>
      <c r="P18" s="1">
        <v>25</v>
      </c>
      <c r="R18" s="1">
        <v>73</v>
      </c>
      <c r="S18">
        <v>69</v>
      </c>
      <c r="T18">
        <v>2.9411764705882353E-2</v>
      </c>
      <c r="U18">
        <v>3.7037037037037035E-2</v>
      </c>
      <c r="V18">
        <v>0.04</v>
      </c>
    </row>
    <row r="19" spans="2:22" x14ac:dyDescent="0.3">
      <c r="B19" s="1">
        <v>2.2424242419999998</v>
      </c>
      <c r="C19" s="1">
        <v>2.423076923</v>
      </c>
      <c r="D19" s="1">
        <v>3.3333333330000001</v>
      </c>
      <c r="F19">
        <v>1.8857142857142857</v>
      </c>
      <c r="G19">
        <v>2.2794117647058822</v>
      </c>
      <c r="H19" s="1">
        <v>9.0909090999999997E-2</v>
      </c>
      <c r="I19" s="1">
        <v>7.6923077000000006E-2</v>
      </c>
      <c r="J19" s="1">
        <v>0.19047618999999999</v>
      </c>
      <c r="L19">
        <v>5.7142857142857141E-2</v>
      </c>
      <c r="M19">
        <v>8.8235294117647065E-2</v>
      </c>
      <c r="N19" s="1">
        <v>33</v>
      </c>
      <c r="O19" s="1">
        <v>26</v>
      </c>
      <c r="P19" s="1">
        <v>21</v>
      </c>
      <c r="R19" s="1">
        <v>70</v>
      </c>
      <c r="S19">
        <v>68</v>
      </c>
      <c r="T19">
        <v>6.0606060606060608E-2</v>
      </c>
      <c r="U19">
        <v>3.8461538461538464E-2</v>
      </c>
      <c r="V19">
        <v>9.5238095238095233E-2</v>
      </c>
    </row>
    <row r="20" spans="2:22" x14ac:dyDescent="0.3">
      <c r="B20" s="1">
        <v>2.1666666669999999</v>
      </c>
      <c r="C20" s="1">
        <v>2.2400000000000002</v>
      </c>
      <c r="D20" s="1">
        <v>2.5263157889999999</v>
      </c>
      <c r="F20">
        <v>1.791044776119403</v>
      </c>
      <c r="G20">
        <v>1.955223880597015</v>
      </c>
      <c r="H20" s="1">
        <v>0.16666666699999999</v>
      </c>
      <c r="I20" s="1">
        <v>0.12</v>
      </c>
      <c r="J20" s="1">
        <v>5.2631578999999998E-2</v>
      </c>
      <c r="L20">
        <v>2.9850746268656716E-2</v>
      </c>
      <c r="M20">
        <v>5.9701492537313432E-2</v>
      </c>
      <c r="N20" s="1">
        <v>30</v>
      </c>
      <c r="O20" s="1">
        <v>25</v>
      </c>
      <c r="P20" s="1">
        <v>19</v>
      </c>
      <c r="R20" s="1">
        <v>67</v>
      </c>
      <c r="S20">
        <v>67</v>
      </c>
      <c r="T20">
        <v>0.1</v>
      </c>
      <c r="U20">
        <v>0.08</v>
      </c>
      <c r="V20">
        <v>0</v>
      </c>
    </row>
    <row r="21" spans="2:22" x14ac:dyDescent="0.3">
      <c r="B21" s="1">
        <v>1.896551724</v>
      </c>
      <c r="C21" s="1">
        <v>2.2400000000000002</v>
      </c>
      <c r="D21" s="1">
        <v>2.5789473680000001</v>
      </c>
      <c r="F21">
        <v>1.6363636363636365</v>
      </c>
      <c r="G21">
        <v>1.7878787878787878</v>
      </c>
      <c r="H21" s="1">
        <v>6.8965517000000004E-2</v>
      </c>
      <c r="I21" s="1">
        <v>0.08</v>
      </c>
      <c r="J21" s="1">
        <v>0.105263158</v>
      </c>
      <c r="L21">
        <v>3.0303030303030304E-2</v>
      </c>
      <c r="M21">
        <v>3.0303030303030304E-2</v>
      </c>
      <c r="N21" s="1">
        <v>29</v>
      </c>
      <c r="O21" s="1">
        <v>25</v>
      </c>
      <c r="P21" s="1">
        <v>19</v>
      </c>
      <c r="R21" s="1">
        <v>66</v>
      </c>
      <c r="S21">
        <v>66</v>
      </c>
      <c r="T21">
        <v>3.4482758620689655E-2</v>
      </c>
      <c r="U21">
        <v>0</v>
      </c>
      <c r="V21">
        <v>5.2631578947368418E-2</v>
      </c>
    </row>
    <row r="22" spans="2:22" x14ac:dyDescent="0.3">
      <c r="B22" s="1">
        <v>1.827586207</v>
      </c>
      <c r="C22" s="1">
        <v>2.5</v>
      </c>
      <c r="D22" s="1">
        <v>2.5263157889999999</v>
      </c>
      <c r="F22">
        <v>2.046875</v>
      </c>
      <c r="G22">
        <v>1.96875</v>
      </c>
      <c r="H22" s="1">
        <v>0.10344827600000001</v>
      </c>
      <c r="I22" s="1">
        <v>0.125</v>
      </c>
      <c r="J22" s="1">
        <v>5.2631578999999998E-2</v>
      </c>
      <c r="L22">
        <v>4.6875E-2</v>
      </c>
      <c r="M22">
        <v>3.125E-2</v>
      </c>
      <c r="N22" s="1">
        <v>29</v>
      </c>
      <c r="O22" s="1">
        <v>24</v>
      </c>
      <c r="P22" s="1">
        <v>19</v>
      </c>
      <c r="R22" s="1">
        <v>64</v>
      </c>
      <c r="S22">
        <v>64</v>
      </c>
      <c r="T22">
        <v>6.8965517241379309E-2</v>
      </c>
      <c r="U22">
        <v>8.3333333333333329E-2</v>
      </c>
      <c r="V22">
        <v>0</v>
      </c>
    </row>
    <row r="23" spans="2:22" x14ac:dyDescent="0.3">
      <c r="B23" s="1">
        <v>1.407407407</v>
      </c>
      <c r="C23" s="1">
        <v>2.5833333330000001</v>
      </c>
      <c r="D23" s="1">
        <v>3.0526315789999998</v>
      </c>
      <c r="F23">
        <v>2.3898305084745761</v>
      </c>
      <c r="G23">
        <v>1.8225806451612903</v>
      </c>
      <c r="H23" s="1">
        <v>3.7037037000000002E-2</v>
      </c>
      <c r="I23" s="1">
        <v>4.1666666999999998E-2</v>
      </c>
      <c r="J23" s="1">
        <v>0.15789473700000001</v>
      </c>
      <c r="L23">
        <v>8.4745762711864403E-2</v>
      </c>
      <c r="M23">
        <v>6.4516129032258063E-2</v>
      </c>
      <c r="N23" s="1">
        <v>27</v>
      </c>
      <c r="O23" s="1">
        <v>24</v>
      </c>
      <c r="P23" s="1">
        <v>19</v>
      </c>
      <c r="R23" s="1">
        <v>59</v>
      </c>
      <c r="S23">
        <v>62</v>
      </c>
      <c r="T23">
        <v>0</v>
      </c>
      <c r="U23">
        <v>0</v>
      </c>
      <c r="V23">
        <v>0.10526315789473684</v>
      </c>
    </row>
    <row r="24" spans="2:22" x14ac:dyDescent="0.3">
      <c r="B24" s="1">
        <v>1.56</v>
      </c>
      <c r="C24" s="1">
        <v>2.2083333330000001</v>
      </c>
      <c r="D24" s="1">
        <v>2.388888889</v>
      </c>
      <c r="F24">
        <v>2.08</v>
      </c>
      <c r="G24">
        <v>2.2456140350877192</v>
      </c>
      <c r="H24" s="1">
        <v>0.08</v>
      </c>
      <c r="I24" s="1">
        <v>8.3333332999999996E-2</v>
      </c>
      <c r="J24" s="1">
        <v>5.5555555999999999E-2</v>
      </c>
      <c r="L24">
        <v>0.08</v>
      </c>
      <c r="M24">
        <v>7.0175438596491224E-2</v>
      </c>
      <c r="N24" s="1">
        <v>25</v>
      </c>
      <c r="O24" s="1">
        <v>24</v>
      </c>
      <c r="P24" s="1">
        <v>18</v>
      </c>
      <c r="R24" s="1">
        <v>50</v>
      </c>
      <c r="S24">
        <v>57</v>
      </c>
      <c r="T24">
        <v>0.04</v>
      </c>
      <c r="U24">
        <v>4.1666666666666664E-2</v>
      </c>
      <c r="V24">
        <v>0</v>
      </c>
    </row>
    <row r="25" spans="2:22" x14ac:dyDescent="0.3">
      <c r="B25" s="1">
        <v>2.16</v>
      </c>
      <c r="C25" s="1">
        <v>3.19047619</v>
      </c>
      <c r="D25" s="1">
        <v>3.388888889</v>
      </c>
      <c r="F25">
        <v>1.5348837209302326</v>
      </c>
      <c r="G25">
        <v>1.9473684210526316</v>
      </c>
      <c r="H25" s="1">
        <v>0.08</v>
      </c>
      <c r="I25" s="1">
        <v>0.14285714299999999</v>
      </c>
      <c r="J25" s="1">
        <v>0.111111111</v>
      </c>
      <c r="L25">
        <v>2.3255813953488372E-2</v>
      </c>
      <c r="M25">
        <v>7.0175438596491224E-2</v>
      </c>
      <c r="N25" s="1">
        <v>25</v>
      </c>
      <c r="O25" s="1">
        <v>21</v>
      </c>
      <c r="P25" s="1">
        <v>18</v>
      </c>
      <c r="R25" s="1">
        <v>43</v>
      </c>
      <c r="S25">
        <v>57</v>
      </c>
      <c r="T25">
        <v>0.04</v>
      </c>
      <c r="U25">
        <v>9.5238095238095233E-2</v>
      </c>
      <c r="V25">
        <v>5.5555555555555552E-2</v>
      </c>
    </row>
    <row r="26" spans="2:22" x14ac:dyDescent="0.3">
      <c r="B26" s="1">
        <v>2.44</v>
      </c>
      <c r="C26" s="1">
        <v>2.35</v>
      </c>
      <c r="D26" s="1">
        <v>4.1111111109999996</v>
      </c>
      <c r="F26">
        <v>1.9047619047619047</v>
      </c>
      <c r="G26">
        <v>2.0196078431372548</v>
      </c>
      <c r="H26" s="1">
        <v>0.12</v>
      </c>
      <c r="I26" s="1">
        <v>0.05</v>
      </c>
      <c r="J26" s="1">
        <v>0.222222222</v>
      </c>
      <c r="L26">
        <v>2.3809523809523808E-2</v>
      </c>
      <c r="M26">
        <v>7.8431372549019607E-2</v>
      </c>
      <c r="N26" s="1">
        <v>25</v>
      </c>
      <c r="O26" s="1">
        <v>20</v>
      </c>
      <c r="P26" s="1">
        <v>18</v>
      </c>
      <c r="R26" s="1">
        <v>42</v>
      </c>
      <c r="S26">
        <v>51</v>
      </c>
      <c r="T26">
        <v>0</v>
      </c>
      <c r="U26">
        <v>0</v>
      </c>
      <c r="V26">
        <v>5.5555555555555552E-2</v>
      </c>
    </row>
    <row r="27" spans="2:22" x14ac:dyDescent="0.3">
      <c r="B27" s="1">
        <v>2.1666666669999999</v>
      </c>
      <c r="C27" s="1">
        <v>2.6666666669999999</v>
      </c>
      <c r="D27" s="1">
        <v>3.4444444440000002</v>
      </c>
      <c r="F27">
        <v>2.5714285714285716</v>
      </c>
      <c r="G27">
        <v>1.7291666666666667</v>
      </c>
      <c r="H27" s="1">
        <v>0.125</v>
      </c>
      <c r="I27" s="1">
        <v>0.111111111</v>
      </c>
      <c r="J27" s="1">
        <v>0.16666666699999999</v>
      </c>
      <c r="L27">
        <v>7.1428571428571425E-2</v>
      </c>
      <c r="M27">
        <v>6.25E-2</v>
      </c>
      <c r="N27" s="1">
        <v>24</v>
      </c>
      <c r="O27" s="1">
        <v>18</v>
      </c>
      <c r="P27" s="1">
        <v>18</v>
      </c>
      <c r="R27" s="1">
        <v>42</v>
      </c>
      <c r="S27">
        <v>48</v>
      </c>
      <c r="T27">
        <v>8.3333333333333329E-2</v>
      </c>
      <c r="U27">
        <v>5.5555555555555552E-2</v>
      </c>
      <c r="V27">
        <v>0.1111111111111111</v>
      </c>
    </row>
    <row r="28" spans="2:22" x14ac:dyDescent="0.3">
      <c r="B28" s="1">
        <v>2.5</v>
      </c>
      <c r="C28" s="1">
        <v>2.411764706</v>
      </c>
      <c r="D28" s="1">
        <v>3.1176470589999998</v>
      </c>
      <c r="F28">
        <v>2.1</v>
      </c>
      <c r="G28">
        <v>2.4042553191489362</v>
      </c>
      <c r="H28" s="1">
        <v>0.18181818199999999</v>
      </c>
      <c r="I28" s="1">
        <v>5.8823528999999999E-2</v>
      </c>
      <c r="J28" s="1">
        <v>0.17647058800000001</v>
      </c>
      <c r="L28">
        <v>7.4999999999999997E-2</v>
      </c>
      <c r="M28">
        <v>8.5106382978723402E-2</v>
      </c>
      <c r="N28" s="1">
        <v>22</v>
      </c>
      <c r="O28" s="1">
        <v>17</v>
      </c>
      <c r="P28" s="1">
        <v>17</v>
      </c>
      <c r="R28" s="1">
        <v>40</v>
      </c>
      <c r="S28">
        <v>47</v>
      </c>
      <c r="T28">
        <v>4.5454545454545456E-2</v>
      </c>
      <c r="U28">
        <v>0</v>
      </c>
      <c r="V28">
        <v>5.8823529411764705E-2</v>
      </c>
    </row>
    <row r="29" spans="2:22" x14ac:dyDescent="0.3">
      <c r="B29" s="1">
        <v>2.7272727269999999</v>
      </c>
      <c r="C29" s="1">
        <v>3.9375</v>
      </c>
      <c r="D29" s="1">
        <v>3.4705882350000001</v>
      </c>
      <c r="F29">
        <v>1.5128205128205128</v>
      </c>
      <c r="G29">
        <v>1.8510638297872339</v>
      </c>
      <c r="H29" s="1">
        <v>0.13636363600000001</v>
      </c>
      <c r="I29" s="1">
        <v>0.1875</v>
      </c>
      <c r="J29" s="1">
        <v>0.117647059</v>
      </c>
      <c r="L29">
        <v>2.564102564102564E-2</v>
      </c>
      <c r="M29">
        <v>4.2553191489361701E-2</v>
      </c>
      <c r="N29" s="1">
        <v>22</v>
      </c>
      <c r="O29" s="1">
        <v>16</v>
      </c>
      <c r="P29" s="1">
        <v>17</v>
      </c>
      <c r="R29" s="1">
        <v>39</v>
      </c>
      <c r="S29">
        <v>47</v>
      </c>
      <c r="T29">
        <v>9.0909090909090912E-2</v>
      </c>
      <c r="U29">
        <v>0.125</v>
      </c>
      <c r="V29">
        <v>5.8823529411764705E-2</v>
      </c>
    </row>
    <row r="30" spans="2:22" x14ac:dyDescent="0.3">
      <c r="B30" s="1">
        <v>1.5</v>
      </c>
      <c r="C30" s="1">
        <v>3.6428571430000001</v>
      </c>
      <c r="D30" s="1">
        <v>3.375</v>
      </c>
      <c r="F30">
        <v>2.5</v>
      </c>
      <c r="G30">
        <v>1.7619047619047619</v>
      </c>
      <c r="H30" s="1">
        <v>0.05</v>
      </c>
      <c r="I30" s="1">
        <v>0.14285714299999999</v>
      </c>
      <c r="J30" s="1">
        <v>0.1875</v>
      </c>
      <c r="L30">
        <v>9.375E-2</v>
      </c>
      <c r="M30">
        <v>7.1428571428571425E-2</v>
      </c>
      <c r="N30" s="1">
        <v>20</v>
      </c>
      <c r="O30" s="1">
        <v>14</v>
      </c>
      <c r="P30" s="1">
        <v>16</v>
      </c>
      <c r="R30" s="1">
        <v>32</v>
      </c>
      <c r="S30">
        <v>42</v>
      </c>
      <c r="T30">
        <v>0</v>
      </c>
      <c r="U30">
        <v>0.14285714285714285</v>
      </c>
      <c r="V30">
        <v>0</v>
      </c>
    </row>
    <row r="31" spans="2:22" x14ac:dyDescent="0.3">
      <c r="B31" s="1">
        <v>2.2105263160000002</v>
      </c>
      <c r="C31" s="1">
        <v>3</v>
      </c>
      <c r="D31" s="1">
        <v>3.2142857139999998</v>
      </c>
      <c r="F31">
        <v>2.6086956521739131</v>
      </c>
      <c r="G31">
        <v>2.3333333333333335</v>
      </c>
      <c r="H31" s="1">
        <v>0.105263158</v>
      </c>
      <c r="I31" s="1">
        <v>0.14285714299999999</v>
      </c>
      <c r="J31" s="1">
        <v>0.14285714299999999</v>
      </c>
      <c r="L31">
        <v>8.6956521739130432E-2</v>
      </c>
      <c r="M31">
        <v>7.1428571428571425E-2</v>
      </c>
      <c r="N31" s="1">
        <v>19</v>
      </c>
      <c r="O31" s="1">
        <v>14</v>
      </c>
      <c r="P31" s="1">
        <v>14</v>
      </c>
      <c r="R31" s="1">
        <v>23</v>
      </c>
      <c r="S31">
        <v>42</v>
      </c>
      <c r="T31">
        <v>0</v>
      </c>
      <c r="U31">
        <v>0</v>
      </c>
      <c r="V31">
        <v>7.1428571428571425E-2</v>
      </c>
    </row>
    <row r="32" spans="2:22" x14ac:dyDescent="0.3">
      <c r="B32" s="1">
        <v>2.4375</v>
      </c>
      <c r="C32" s="1">
        <v>2.8571428569999999</v>
      </c>
      <c r="D32" s="1">
        <v>4.7857142860000002</v>
      </c>
      <c r="F32">
        <v>1.9130434782608696</v>
      </c>
      <c r="G32">
        <v>2.9444444444444446</v>
      </c>
      <c r="H32" s="1">
        <v>0.1875</v>
      </c>
      <c r="I32" s="1">
        <v>7.1428570999999996E-2</v>
      </c>
      <c r="J32" s="1">
        <v>0.21428571399999999</v>
      </c>
      <c r="L32">
        <v>4.3478260869565216E-2</v>
      </c>
      <c r="M32">
        <v>8.3333333333333329E-2</v>
      </c>
      <c r="N32" s="1">
        <v>16</v>
      </c>
      <c r="O32" s="1">
        <v>14</v>
      </c>
      <c r="P32" s="1">
        <v>14</v>
      </c>
      <c r="R32" s="1">
        <v>23</v>
      </c>
      <c r="S32">
        <v>36</v>
      </c>
      <c r="T32">
        <v>0</v>
      </c>
      <c r="U32">
        <v>0</v>
      </c>
      <c r="V32">
        <v>7.1428571428571425E-2</v>
      </c>
    </row>
    <row r="33" spans="2:22" x14ac:dyDescent="0.3">
      <c r="B33" s="1">
        <v>2.75</v>
      </c>
      <c r="C33" s="1">
        <v>3.0714285710000002</v>
      </c>
      <c r="D33" s="1">
        <v>3.75</v>
      </c>
      <c r="F33">
        <v>2.4</v>
      </c>
      <c r="G33">
        <v>1.696969696969697</v>
      </c>
      <c r="H33" s="1">
        <v>0.125</v>
      </c>
      <c r="I33" s="1">
        <v>0.14285714299999999</v>
      </c>
      <c r="J33" s="1">
        <v>8.3333332999999996E-2</v>
      </c>
      <c r="L33">
        <v>0.15</v>
      </c>
      <c r="M33">
        <v>3.0303030303030304E-2</v>
      </c>
      <c r="N33" s="1">
        <v>16</v>
      </c>
      <c r="O33" s="1">
        <v>14</v>
      </c>
      <c r="P33" s="1">
        <v>12</v>
      </c>
      <c r="R33" s="1">
        <v>20</v>
      </c>
      <c r="S33">
        <v>33</v>
      </c>
      <c r="T33">
        <v>0</v>
      </c>
      <c r="U33">
        <v>7.1428571428571425E-2</v>
      </c>
      <c r="V33">
        <v>0</v>
      </c>
    </row>
    <row r="34" spans="2:22" x14ac:dyDescent="0.3">
      <c r="B34" s="1">
        <v>3.1818181820000002</v>
      </c>
      <c r="C34" s="1">
        <v>3.2727272730000001</v>
      </c>
      <c r="D34" s="1">
        <v>3.8333333330000001</v>
      </c>
      <c r="G34">
        <v>2.1333333333333333</v>
      </c>
      <c r="H34" s="1">
        <v>0.18181818199999999</v>
      </c>
      <c r="I34" s="1">
        <v>0.18181818199999999</v>
      </c>
      <c r="J34" s="1">
        <v>0.16666666699999999</v>
      </c>
      <c r="M34">
        <v>3.3333333333333333E-2</v>
      </c>
      <c r="N34" s="1">
        <v>11</v>
      </c>
      <c r="O34" s="1">
        <v>11</v>
      </c>
      <c r="P34" s="1">
        <v>12</v>
      </c>
      <c r="S34">
        <v>30</v>
      </c>
      <c r="T34">
        <v>0</v>
      </c>
      <c r="U34">
        <v>9.0909090909090912E-2</v>
      </c>
      <c r="V34">
        <v>8.3333333333333329E-2</v>
      </c>
    </row>
    <row r="35" spans="2:22" x14ac:dyDescent="0.3">
      <c r="B35" s="1">
        <v>3.125</v>
      </c>
      <c r="C35" s="1">
        <v>2.888888889</v>
      </c>
      <c r="D35" s="1">
        <v>4.4545454549999999</v>
      </c>
      <c r="G35">
        <v>2.1176470588235294</v>
      </c>
      <c r="H35" s="1">
        <v>0.125</v>
      </c>
      <c r="I35" s="1">
        <v>0.111111111</v>
      </c>
      <c r="J35" s="1">
        <v>0.27272727299999999</v>
      </c>
      <c r="M35">
        <v>5.8823529411764705E-2</v>
      </c>
      <c r="N35" s="1">
        <v>8</v>
      </c>
      <c r="O35" s="1">
        <v>9</v>
      </c>
      <c r="P35" s="1">
        <v>11</v>
      </c>
      <c r="S35">
        <v>17</v>
      </c>
      <c r="T35">
        <v>0</v>
      </c>
      <c r="U35">
        <v>0</v>
      </c>
      <c r="V35">
        <v>0</v>
      </c>
    </row>
    <row r="56" spans="1:22" x14ac:dyDescent="0.3">
      <c r="A56" t="s">
        <v>13</v>
      </c>
      <c r="B56">
        <f>MEDIAN(B4:B35)</f>
        <v>2.1666666669999999</v>
      </c>
      <c r="C56">
        <f t="shared" ref="C56:V56" si="0">MEDIAN(C4:C35)</f>
        <v>2.537878788</v>
      </c>
      <c r="D56">
        <f t="shared" si="0"/>
        <v>3.0851393189999996</v>
      </c>
      <c r="E56">
        <f t="shared" si="0"/>
        <v>1.349112426035503</v>
      </c>
      <c r="F56">
        <f t="shared" si="0"/>
        <v>1.8952380952380952</v>
      </c>
      <c r="G56">
        <f t="shared" si="0"/>
        <v>1.9389619883040936</v>
      </c>
      <c r="H56">
        <f t="shared" si="0"/>
        <v>0.1109515995</v>
      </c>
      <c r="I56">
        <f t="shared" si="0"/>
        <v>0.109126984</v>
      </c>
      <c r="J56">
        <f t="shared" si="0"/>
        <v>0.13840996150000001</v>
      </c>
      <c r="K56">
        <f t="shared" si="0"/>
        <v>2.7027027027027029E-2</v>
      </c>
      <c r="L56">
        <f t="shared" si="0"/>
        <v>4.7913024475524479E-2</v>
      </c>
      <c r="M56">
        <f t="shared" si="0"/>
        <v>5.9262510974539065E-2</v>
      </c>
      <c r="N56">
        <f t="shared" si="0"/>
        <v>31.5</v>
      </c>
      <c r="O56">
        <f t="shared" si="0"/>
        <v>25.5</v>
      </c>
      <c r="P56">
        <f t="shared" si="0"/>
        <v>20</v>
      </c>
      <c r="Q56">
        <f>MEDIAN(Q4:Q35)</f>
        <v>148</v>
      </c>
      <c r="R56">
        <f t="shared" si="0"/>
        <v>71.5</v>
      </c>
      <c r="S56">
        <f t="shared" si="0"/>
        <v>67.5</v>
      </c>
      <c r="T56">
        <f t="shared" si="0"/>
        <v>5.1298701298701302E-2</v>
      </c>
      <c r="U56">
        <f t="shared" si="0"/>
        <v>6.0606060606060608E-2</v>
      </c>
      <c r="V56">
        <f t="shared" si="0"/>
        <v>6.3502673796791448E-2</v>
      </c>
    </row>
    <row r="57" spans="1:22" x14ac:dyDescent="0.3">
      <c r="A57" t="s">
        <v>10</v>
      </c>
      <c r="B57">
        <v>2.1148185787187499</v>
      </c>
      <c r="C57">
        <v>2.6493259620312499</v>
      </c>
      <c r="D57">
        <v>3.1178312345624999</v>
      </c>
      <c r="E57">
        <v>1.3001910620322639</v>
      </c>
      <c r="F57">
        <v>1.9474428074975141</v>
      </c>
      <c r="G57">
        <v>1.9813814797350466</v>
      </c>
      <c r="H57">
        <v>0.10800485899999998</v>
      </c>
      <c r="I57">
        <v>0.110175943875</v>
      </c>
      <c r="J57">
        <v>0.14153631443749998</v>
      </c>
      <c r="K57">
        <v>2.9331922397866448E-2</v>
      </c>
      <c r="L57">
        <v>5.5207954602673644E-2</v>
      </c>
      <c r="M57">
        <v>5.7327647307231513E-2</v>
      </c>
      <c r="N57">
        <v>35.4375</v>
      </c>
      <c r="O57">
        <v>26.84375</v>
      </c>
      <c r="P57">
        <v>25.03125</v>
      </c>
      <c r="Q57">
        <v>182.30769230769232</v>
      </c>
      <c r="R57">
        <v>86.533333333333331</v>
      </c>
      <c r="S57">
        <v>70.84375</v>
      </c>
    </row>
    <row r="58" spans="1:22" x14ac:dyDescent="0.3">
      <c r="A58" t="s">
        <v>8</v>
      </c>
      <c r="B58">
        <v>0.4524401046237041</v>
      </c>
      <c r="C58">
        <v>0.47364394297563978</v>
      </c>
      <c r="D58">
        <v>0.61584352425084654</v>
      </c>
      <c r="E58">
        <v>0.19716105971075396</v>
      </c>
      <c r="F58">
        <v>0.31845465086122043</v>
      </c>
      <c r="G58">
        <v>0.33064859763600635</v>
      </c>
      <c r="H58">
        <v>3.7814037105978533E-2</v>
      </c>
      <c r="I58">
        <v>4.026803555228449E-2</v>
      </c>
      <c r="J58">
        <v>5.1562530387170499E-2</v>
      </c>
      <c r="K58">
        <v>1.3734299588758768E-2</v>
      </c>
      <c r="L58">
        <v>2.8412647875824943E-2</v>
      </c>
      <c r="M58">
        <v>2.2636277542669607E-2</v>
      </c>
      <c r="N58">
        <v>18.19240802305784</v>
      </c>
      <c r="O58">
        <v>10.972426952402392</v>
      </c>
      <c r="P58">
        <v>10.262629905664785</v>
      </c>
      <c r="Q58">
        <v>157.78381022535478</v>
      </c>
      <c r="R58">
        <v>60.761678788488084</v>
      </c>
      <c r="S58">
        <v>34.698804827423274</v>
      </c>
    </row>
    <row r="60" spans="1:22" x14ac:dyDescent="0.3">
      <c r="A60" t="s">
        <v>1</v>
      </c>
    </row>
    <row r="61" spans="1:22" x14ac:dyDescent="0.3">
      <c r="A61">
        <v>1</v>
      </c>
      <c r="C61">
        <v>2.0233889495516788E-5</v>
      </c>
      <c r="D61">
        <v>6.281836208189696E-10</v>
      </c>
      <c r="F61">
        <v>1.3181299723130056E-9</v>
      </c>
      <c r="G61">
        <v>3.3563156634091044E-10</v>
      </c>
      <c r="I61" s="2">
        <v>0.82478945234884038</v>
      </c>
      <c r="J61">
        <v>4.3990965636089138E-3</v>
      </c>
      <c r="L61">
        <v>2.4731708556802949E-4</v>
      </c>
      <c r="M61">
        <v>1.2156764715316925E-5</v>
      </c>
      <c r="O61">
        <v>2.6309382111582638E-2</v>
      </c>
      <c r="P61">
        <v>6.948538200665399E-3</v>
      </c>
      <c r="R61" s="2">
        <v>5.2819233987273312E-2</v>
      </c>
      <c r="S61">
        <v>2.6143266431277824E-2</v>
      </c>
    </row>
    <row r="62" spans="1:22" x14ac:dyDescent="0.3">
      <c r="A62">
        <v>2</v>
      </c>
      <c r="D62">
        <v>1.1818991880668394E-3</v>
      </c>
      <c r="G62" s="2">
        <v>0.68205752490293936</v>
      </c>
      <c r="J62">
        <v>8.7745465766958259E-3</v>
      </c>
      <c r="M62" s="2">
        <v>0.74750071949852648</v>
      </c>
      <c r="P62" s="2">
        <v>0.49750644936034283</v>
      </c>
      <c r="S62" s="2">
        <v>0.22218102029428813</v>
      </c>
    </row>
    <row r="63" spans="1:22" x14ac:dyDescent="0.3">
      <c r="A63">
        <v>3</v>
      </c>
    </row>
    <row r="64" spans="1:22" x14ac:dyDescent="0.3">
      <c r="A64" t="s">
        <v>3</v>
      </c>
    </row>
    <row r="65" spans="1:16" x14ac:dyDescent="0.3">
      <c r="A65">
        <v>1</v>
      </c>
      <c r="B65">
        <v>1.3416108922384529E-10</v>
      </c>
      <c r="C65">
        <v>4.8971397590795929E-17</v>
      </c>
      <c r="D65">
        <v>2.470392254806103E-18</v>
      </c>
      <c r="H65">
        <v>4.6677830431074936E-13</v>
      </c>
      <c r="I65">
        <v>9.8791451278168969E-13</v>
      </c>
      <c r="J65">
        <v>4.9013162480758622E-14</v>
      </c>
      <c r="N65">
        <v>5.7310563103808356E-3</v>
      </c>
      <c r="O65">
        <v>3.980497276682652E-3</v>
      </c>
      <c r="P65">
        <v>3.6882717688166101E-3</v>
      </c>
    </row>
    <row r="66" spans="1:16" x14ac:dyDescent="0.3">
      <c r="A66">
        <v>2</v>
      </c>
      <c r="C66">
        <v>6.0347338346832905E-9</v>
      </c>
      <c r="D66">
        <v>1.6868474990368263E-12</v>
      </c>
      <c r="I66">
        <v>6.2179834298252316E-8</v>
      </c>
      <c r="J66">
        <v>8.6677136829179384E-11</v>
      </c>
      <c r="O66">
        <v>9.2738387181658796E-6</v>
      </c>
      <c r="P66">
        <v>5.8169026448009815E-6</v>
      </c>
    </row>
    <row r="67" spans="1:16" x14ac:dyDescent="0.3">
      <c r="A67">
        <v>3</v>
      </c>
      <c r="D67">
        <v>4.0198844935020575E-12</v>
      </c>
      <c r="J67">
        <v>1.1707989170073248E-10</v>
      </c>
      <c r="P67">
        <v>1.8980632494827537E-8</v>
      </c>
    </row>
  </sheetData>
  <mergeCells count="12">
    <mergeCell ref="B2:D2"/>
    <mergeCell ref="E2:G2"/>
    <mergeCell ref="A1:G1"/>
    <mergeCell ref="H1:M1"/>
    <mergeCell ref="H2:J2"/>
    <mergeCell ref="K2:M2"/>
    <mergeCell ref="N1:S1"/>
    <mergeCell ref="N2:P2"/>
    <mergeCell ref="Q2:S2"/>
    <mergeCell ref="T1:Y1"/>
    <mergeCell ref="T2:V2"/>
    <mergeCell ref="W2:Y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72A31-C884-47F8-BD9D-7386D86536F9}">
  <dimension ref="A1:Y47"/>
  <sheetViews>
    <sheetView topLeftCell="D1" workbookViewId="0">
      <selection activeCell="S37" sqref="S37"/>
    </sheetView>
  </sheetViews>
  <sheetFormatPr defaultRowHeight="14" x14ac:dyDescent="0.3"/>
  <cols>
    <col min="2" max="4" width="12.5" bestFit="1" customWidth="1"/>
    <col min="6" max="7" width="12.5" bestFit="1" customWidth="1"/>
  </cols>
  <sheetData>
    <row r="1" spans="1:25" x14ac:dyDescent="0.3">
      <c r="A1" s="3" t="s">
        <v>5</v>
      </c>
      <c r="B1" s="3"/>
      <c r="C1" s="3"/>
      <c r="D1" s="3"/>
      <c r="E1" s="3"/>
      <c r="F1" s="3"/>
      <c r="G1" s="3"/>
      <c r="H1" s="3" t="s">
        <v>6</v>
      </c>
      <c r="I1" s="3"/>
      <c r="J1" s="3"/>
      <c r="K1" s="3"/>
      <c r="L1" s="3"/>
      <c r="M1" s="3"/>
      <c r="N1" s="3" t="s">
        <v>7</v>
      </c>
      <c r="O1" s="3"/>
      <c r="P1" s="3"/>
      <c r="Q1" s="3"/>
      <c r="R1" s="3"/>
      <c r="S1" s="3"/>
      <c r="T1" s="3" t="s">
        <v>12</v>
      </c>
      <c r="U1" s="3"/>
      <c r="V1" s="3"/>
      <c r="W1" s="3"/>
      <c r="X1" s="3"/>
      <c r="Y1" s="3"/>
    </row>
    <row r="2" spans="1:25" x14ac:dyDescent="0.3">
      <c r="B2" s="3" t="s">
        <v>2</v>
      </c>
      <c r="C2" s="3"/>
      <c r="D2" s="3"/>
      <c r="E2" s="3" t="s">
        <v>4</v>
      </c>
      <c r="F2" s="3"/>
      <c r="G2" s="3"/>
      <c r="H2" s="3" t="s">
        <v>2</v>
      </c>
      <c r="I2" s="3"/>
      <c r="J2" s="3"/>
      <c r="K2" s="3" t="s">
        <v>4</v>
      </c>
      <c r="L2" s="3"/>
      <c r="M2" s="3"/>
      <c r="N2" s="3" t="s">
        <v>2</v>
      </c>
      <c r="O2" s="3"/>
      <c r="P2" s="3"/>
      <c r="Q2" s="3" t="s">
        <v>4</v>
      </c>
      <c r="R2" s="3"/>
      <c r="S2" s="3"/>
      <c r="T2" s="3" t="s">
        <v>2</v>
      </c>
      <c r="U2" s="3"/>
      <c r="V2" s="3"/>
      <c r="W2" s="3" t="s">
        <v>4</v>
      </c>
      <c r="X2" s="3"/>
      <c r="Y2" s="3"/>
    </row>
    <row r="3" spans="1:25" x14ac:dyDescent="0.3">
      <c r="A3" t="s">
        <v>0</v>
      </c>
      <c r="B3">
        <v>1</v>
      </c>
      <c r="C3">
        <v>2</v>
      </c>
      <c r="D3">
        <v>3</v>
      </c>
      <c r="E3">
        <v>1</v>
      </c>
      <c r="F3">
        <v>2</v>
      </c>
      <c r="G3">
        <v>3</v>
      </c>
      <c r="H3">
        <v>1</v>
      </c>
      <c r="I3">
        <v>2</v>
      </c>
      <c r="J3">
        <v>3</v>
      </c>
      <c r="K3">
        <v>1</v>
      </c>
      <c r="L3">
        <v>2</v>
      </c>
      <c r="M3">
        <v>3</v>
      </c>
      <c r="N3">
        <v>1</v>
      </c>
      <c r="O3">
        <v>2</v>
      </c>
      <c r="P3">
        <v>3</v>
      </c>
      <c r="Q3">
        <v>1</v>
      </c>
      <c r="R3">
        <v>2</v>
      </c>
      <c r="S3">
        <v>3</v>
      </c>
      <c r="T3">
        <v>1</v>
      </c>
      <c r="U3">
        <v>2</v>
      </c>
      <c r="V3">
        <v>3</v>
      </c>
      <c r="W3">
        <v>1</v>
      </c>
      <c r="X3">
        <v>2</v>
      </c>
      <c r="Y3">
        <v>3</v>
      </c>
    </row>
    <row r="4" spans="1:25" x14ac:dyDescent="0.3">
      <c r="B4" s="1">
        <v>1.8604651160000001</v>
      </c>
      <c r="C4" s="1">
        <v>1.7959183670000001</v>
      </c>
      <c r="D4" s="1">
        <v>2.886363636</v>
      </c>
      <c r="E4">
        <v>1.0667808219178083</v>
      </c>
      <c r="F4">
        <v>1.7438271604938271</v>
      </c>
      <c r="G4">
        <v>1.6923076923076923</v>
      </c>
      <c r="H4" s="1">
        <v>0.11627907</v>
      </c>
      <c r="I4" s="1">
        <v>8.1632652999999999E-2</v>
      </c>
      <c r="J4" s="1">
        <v>0.13636363600000001</v>
      </c>
      <c r="K4">
        <v>1.8835616438356163E-2</v>
      </c>
      <c r="L4">
        <v>3.7037037037037035E-2</v>
      </c>
      <c r="M4">
        <v>4.6153846153846156E-2</v>
      </c>
      <c r="N4" s="1">
        <v>86</v>
      </c>
      <c r="O4" s="1">
        <v>49</v>
      </c>
      <c r="P4" s="1">
        <v>44</v>
      </c>
      <c r="Q4" s="1">
        <v>584</v>
      </c>
      <c r="R4" s="1">
        <v>324</v>
      </c>
      <c r="S4">
        <v>195</v>
      </c>
      <c r="T4">
        <v>0.10465116279069768</v>
      </c>
      <c r="U4">
        <v>8.1632653061224483E-2</v>
      </c>
      <c r="V4">
        <v>6.8181818181818177E-2</v>
      </c>
    </row>
    <row r="5" spans="1:25" x14ac:dyDescent="0.3">
      <c r="B5" s="1">
        <v>2.0632911389999999</v>
      </c>
      <c r="C5" s="1">
        <v>3.2083333330000001</v>
      </c>
      <c r="D5" s="1">
        <v>2.7857142860000002</v>
      </c>
      <c r="E5">
        <v>0.92601431980906923</v>
      </c>
      <c r="F5">
        <v>1.797752808988764</v>
      </c>
      <c r="G5">
        <v>1.8308823529411764</v>
      </c>
      <c r="H5" s="1">
        <v>0.113924051</v>
      </c>
      <c r="I5" s="1">
        <v>0.16666666699999999</v>
      </c>
      <c r="J5" s="1">
        <v>0.16666666699999999</v>
      </c>
      <c r="K5">
        <v>7.1599045346062056E-3</v>
      </c>
      <c r="L5">
        <v>3.9325842696629212E-2</v>
      </c>
      <c r="M5">
        <v>5.8823529411764705E-2</v>
      </c>
      <c r="N5" s="1">
        <v>79</v>
      </c>
      <c r="O5" s="1">
        <v>48</v>
      </c>
      <c r="P5" s="1">
        <v>42</v>
      </c>
      <c r="Q5" s="1">
        <v>419</v>
      </c>
      <c r="R5" s="1">
        <v>178</v>
      </c>
      <c r="S5">
        <v>136</v>
      </c>
      <c r="T5">
        <v>0.20253164556962025</v>
      </c>
      <c r="U5">
        <v>0.10416666666666667</v>
      </c>
      <c r="V5">
        <v>9.5238095238095233E-2</v>
      </c>
    </row>
    <row r="6" spans="1:25" x14ac:dyDescent="0.3">
      <c r="B6" s="1">
        <v>1.62295082</v>
      </c>
      <c r="C6" s="1">
        <v>2.25</v>
      </c>
      <c r="D6" s="1">
        <v>3.2439024390000002</v>
      </c>
      <c r="E6">
        <v>1.2334630350194553</v>
      </c>
      <c r="F6">
        <v>1.7371794871794872</v>
      </c>
      <c r="G6">
        <v>1.5680000000000001</v>
      </c>
      <c r="H6" s="1">
        <v>6.5573770000000003E-2</v>
      </c>
      <c r="I6" s="1">
        <v>0.113636364</v>
      </c>
      <c r="J6" s="1">
        <v>0.17073170700000001</v>
      </c>
      <c r="K6">
        <v>2.7237354085603113E-2</v>
      </c>
      <c r="L6">
        <v>5.128205128205128E-2</v>
      </c>
      <c r="M6">
        <v>8.0000000000000002E-3</v>
      </c>
      <c r="N6" s="1">
        <v>61</v>
      </c>
      <c r="O6" s="1">
        <v>44</v>
      </c>
      <c r="P6" s="1">
        <v>41</v>
      </c>
      <c r="Q6" s="1">
        <v>257</v>
      </c>
      <c r="R6" s="1">
        <v>156</v>
      </c>
      <c r="S6">
        <v>125</v>
      </c>
      <c r="T6">
        <v>3.2786885245901641E-2</v>
      </c>
      <c r="U6">
        <v>6.8181818181818177E-2</v>
      </c>
      <c r="V6">
        <v>0.12195121951219512</v>
      </c>
    </row>
    <row r="7" spans="1:25" x14ac:dyDescent="0.3">
      <c r="B7" s="1">
        <v>1.9814814810000001</v>
      </c>
      <c r="C7" s="1">
        <v>2.4883720930000002</v>
      </c>
      <c r="D7" s="1">
        <v>2.2250000000000001</v>
      </c>
      <c r="E7">
        <v>1.349112426035503</v>
      </c>
      <c r="F7">
        <v>1.7832167832167831</v>
      </c>
      <c r="G7">
        <v>1.5700934579439252</v>
      </c>
      <c r="H7" s="1">
        <v>0.12962963</v>
      </c>
      <c r="I7" s="1">
        <v>9.3023255999999999E-2</v>
      </c>
      <c r="J7" s="1">
        <v>0.1</v>
      </c>
      <c r="K7">
        <v>2.9585798816568046E-2</v>
      </c>
      <c r="L7">
        <v>4.8951048951048952E-2</v>
      </c>
      <c r="M7">
        <v>3.7383177570093455E-2</v>
      </c>
      <c r="N7" s="1">
        <v>54</v>
      </c>
      <c r="O7" s="1">
        <v>43</v>
      </c>
      <c r="P7" s="1">
        <v>40</v>
      </c>
      <c r="Q7" s="1">
        <v>169</v>
      </c>
      <c r="R7" s="1">
        <v>143</v>
      </c>
      <c r="S7">
        <v>107</v>
      </c>
      <c r="T7">
        <v>9.2592592592592587E-2</v>
      </c>
      <c r="U7">
        <v>4.6511627906976744E-2</v>
      </c>
      <c r="V7">
        <v>2.5000000000000001E-2</v>
      </c>
    </row>
    <row r="8" spans="1:25" x14ac:dyDescent="0.3">
      <c r="B8" s="1">
        <v>2.358490566</v>
      </c>
      <c r="C8" s="1">
        <v>2.3023255809999998</v>
      </c>
      <c r="D8" s="1">
        <v>2.0499999999999998</v>
      </c>
      <c r="E8">
        <v>1.0487804878048781</v>
      </c>
      <c r="F8">
        <v>1.653225806451613</v>
      </c>
      <c r="G8">
        <v>1.9019607843137254</v>
      </c>
      <c r="H8" s="1">
        <v>0.11320754700000001</v>
      </c>
      <c r="I8" s="1">
        <v>6.9767441999999999E-2</v>
      </c>
      <c r="J8" s="1">
        <v>0.125</v>
      </c>
      <c r="K8">
        <v>1.8292682926829267E-2</v>
      </c>
      <c r="L8">
        <v>3.2258064516129031E-2</v>
      </c>
      <c r="M8">
        <v>3.9215686274509803E-2</v>
      </c>
      <c r="N8" s="1">
        <v>53</v>
      </c>
      <c r="O8" s="1">
        <v>43</v>
      </c>
      <c r="P8" s="1">
        <v>40</v>
      </c>
      <c r="Q8" s="1">
        <v>164</v>
      </c>
      <c r="R8" s="1">
        <v>124</v>
      </c>
      <c r="S8">
        <v>102</v>
      </c>
      <c r="T8">
        <v>0.11320754716981132</v>
      </c>
      <c r="U8">
        <v>2.3255813953488372E-2</v>
      </c>
      <c r="V8">
        <v>0.125</v>
      </c>
    </row>
    <row r="9" spans="1:25" x14ac:dyDescent="0.3">
      <c r="B9" s="1">
        <v>1.711538462</v>
      </c>
      <c r="C9" s="1">
        <v>2.486486486</v>
      </c>
      <c r="D9" s="1">
        <v>2.7105263160000002</v>
      </c>
      <c r="E9">
        <v>1.4506172839506173</v>
      </c>
      <c r="F9">
        <v>2.2905982905982905</v>
      </c>
      <c r="G9">
        <v>1.901098901098901</v>
      </c>
      <c r="H9" s="1">
        <v>0.115384615</v>
      </c>
      <c r="I9" s="1">
        <v>8.1081080999999999E-2</v>
      </c>
      <c r="J9" s="1">
        <v>0.131578947</v>
      </c>
      <c r="K9">
        <v>2.4691358024691357E-2</v>
      </c>
      <c r="L9">
        <v>8.5470085470085472E-2</v>
      </c>
      <c r="M9">
        <v>4.3956043956043959E-2</v>
      </c>
      <c r="N9" s="1">
        <v>52</v>
      </c>
      <c r="O9" s="1">
        <v>37</v>
      </c>
      <c r="P9" s="1">
        <v>38</v>
      </c>
      <c r="Q9" s="1">
        <v>162</v>
      </c>
      <c r="R9" s="1">
        <v>117</v>
      </c>
      <c r="S9">
        <v>91</v>
      </c>
      <c r="T9">
        <v>9.6153846153846159E-2</v>
      </c>
      <c r="U9">
        <v>2.7027027027027029E-2</v>
      </c>
      <c r="V9">
        <v>5.2631578947368418E-2</v>
      </c>
    </row>
    <row r="10" spans="1:25" x14ac:dyDescent="0.3">
      <c r="B10" s="1">
        <v>2.1666666669999999</v>
      </c>
      <c r="C10" s="1">
        <v>3.0555555559999998</v>
      </c>
      <c r="D10" s="1">
        <v>3.1944444440000002</v>
      </c>
      <c r="E10">
        <v>1.2094594594594594</v>
      </c>
      <c r="F10">
        <v>1.8771929824561404</v>
      </c>
      <c r="G10">
        <v>1.4444444444444444</v>
      </c>
      <c r="H10" s="1">
        <v>8.3333332999999996E-2</v>
      </c>
      <c r="I10" s="1">
        <v>0.19444444399999999</v>
      </c>
      <c r="J10" s="1">
        <v>0.13888888899999999</v>
      </c>
      <c r="K10">
        <v>2.7027027027027029E-2</v>
      </c>
      <c r="L10">
        <v>4.3859649122807015E-2</v>
      </c>
      <c r="M10">
        <v>2.2222222222222223E-2</v>
      </c>
      <c r="N10" s="1">
        <v>48</v>
      </c>
      <c r="O10" s="1">
        <v>36</v>
      </c>
      <c r="P10" s="1">
        <v>36</v>
      </c>
      <c r="Q10" s="1">
        <v>148</v>
      </c>
      <c r="R10" s="1">
        <v>114</v>
      </c>
      <c r="S10">
        <v>90</v>
      </c>
      <c r="T10">
        <v>8.3333333333333329E-2</v>
      </c>
      <c r="U10">
        <v>0.1111111111111111</v>
      </c>
      <c r="V10">
        <v>0.1111111111111111</v>
      </c>
    </row>
    <row r="11" spans="1:25" x14ac:dyDescent="0.3">
      <c r="B11" s="1">
        <v>1.6041666670000001</v>
      </c>
      <c r="C11" s="1">
        <v>2.6176470589999998</v>
      </c>
      <c r="D11" s="1">
        <v>2.5714285710000002</v>
      </c>
      <c r="E11">
        <v>1.5069444444444444</v>
      </c>
      <c r="F11">
        <v>1.5357142857142858</v>
      </c>
      <c r="G11">
        <v>1.9146341463414633</v>
      </c>
      <c r="H11" s="1">
        <v>8.3333332999999996E-2</v>
      </c>
      <c r="I11" s="1">
        <v>0.117647059</v>
      </c>
      <c r="J11" s="1">
        <v>8.5714286000000001E-2</v>
      </c>
      <c r="K11">
        <v>3.4722222222222224E-2</v>
      </c>
      <c r="L11">
        <v>2.6785714285714284E-2</v>
      </c>
      <c r="M11">
        <v>7.3170731707317069E-2</v>
      </c>
      <c r="N11" s="1">
        <v>48</v>
      </c>
      <c r="O11" s="1">
        <v>34</v>
      </c>
      <c r="P11" s="1">
        <v>35</v>
      </c>
      <c r="Q11" s="1">
        <v>144</v>
      </c>
      <c r="R11" s="1">
        <v>112</v>
      </c>
      <c r="S11">
        <v>82</v>
      </c>
      <c r="T11">
        <v>6.25E-2</v>
      </c>
      <c r="U11">
        <v>8.8235294117647065E-2</v>
      </c>
      <c r="V11">
        <v>5.7142857142857141E-2</v>
      </c>
    </row>
    <row r="12" spans="1:25" x14ac:dyDescent="0.3">
      <c r="B12" s="1">
        <v>2</v>
      </c>
      <c r="C12" s="1">
        <v>2.575757576</v>
      </c>
      <c r="D12" s="1">
        <v>2.9090909090000001</v>
      </c>
      <c r="E12">
        <v>1.2613636363636365</v>
      </c>
      <c r="F12">
        <v>1.5596330275229358</v>
      </c>
      <c r="G12">
        <v>1.9871794871794872</v>
      </c>
      <c r="H12" s="1">
        <v>0.108695652</v>
      </c>
      <c r="I12" s="1">
        <v>9.0909090999999997E-2</v>
      </c>
      <c r="J12" s="1">
        <v>0.15151515199999999</v>
      </c>
      <c r="K12">
        <v>2.2727272727272728E-2</v>
      </c>
      <c r="L12">
        <v>3.669724770642202E-2</v>
      </c>
      <c r="M12">
        <v>3.8461538461538464E-2</v>
      </c>
      <c r="N12" s="1">
        <v>46</v>
      </c>
      <c r="O12" s="1">
        <v>33</v>
      </c>
      <c r="P12" s="1">
        <v>33</v>
      </c>
      <c r="Q12" s="1">
        <v>88</v>
      </c>
      <c r="R12" s="1">
        <v>109</v>
      </c>
      <c r="S12">
        <v>78</v>
      </c>
      <c r="T12">
        <v>8.6956521739130432E-2</v>
      </c>
      <c r="U12">
        <v>6.0606060606060608E-2</v>
      </c>
      <c r="V12">
        <v>9.0909090909090912E-2</v>
      </c>
    </row>
    <row r="13" spans="1:25" x14ac:dyDescent="0.3">
      <c r="B13" s="1">
        <v>1.326086957</v>
      </c>
      <c r="C13" s="1">
        <v>2.1212121210000001</v>
      </c>
      <c r="D13" s="1">
        <v>2.5454545450000001</v>
      </c>
      <c r="E13">
        <v>1.4197530864197532</v>
      </c>
      <c r="F13">
        <v>1.8490566037735849</v>
      </c>
      <c r="G13">
        <v>2.0135135135135136</v>
      </c>
      <c r="H13" s="1">
        <v>4.3478260999999997E-2</v>
      </c>
      <c r="I13" s="1">
        <v>9.0909090999999997E-2</v>
      </c>
      <c r="J13" s="1">
        <v>0.12121212100000001</v>
      </c>
      <c r="K13">
        <v>6.1728395061728392E-2</v>
      </c>
      <c r="L13">
        <v>5.6603773584905662E-2</v>
      </c>
      <c r="M13">
        <v>6.7567567567567571E-2</v>
      </c>
      <c r="N13" s="1">
        <v>46</v>
      </c>
      <c r="O13" s="1">
        <v>33</v>
      </c>
      <c r="P13" s="1">
        <v>33</v>
      </c>
      <c r="Q13" s="1">
        <v>81</v>
      </c>
      <c r="R13" s="1">
        <v>106</v>
      </c>
      <c r="S13">
        <v>74</v>
      </c>
      <c r="T13">
        <v>4.3478260869565216E-2</v>
      </c>
      <c r="U13">
        <v>6.0606060606060608E-2</v>
      </c>
      <c r="V13">
        <v>9.0909090909090912E-2</v>
      </c>
    </row>
    <row r="14" spans="1:25" x14ac:dyDescent="0.3">
      <c r="B14" s="1">
        <v>2.3023255809999998</v>
      </c>
      <c r="C14" s="1">
        <v>2.9354838710000002</v>
      </c>
      <c r="D14" s="1">
        <v>3.0333333329999999</v>
      </c>
      <c r="E14">
        <v>1.3766233766233766</v>
      </c>
      <c r="F14">
        <v>2.2173913043478262</v>
      </c>
      <c r="G14">
        <v>2.7222222222222223</v>
      </c>
      <c r="H14" s="1">
        <v>0.139534884</v>
      </c>
      <c r="I14" s="1">
        <v>9.6774193999999994E-2</v>
      </c>
      <c r="J14" s="1">
        <v>0.133333333</v>
      </c>
      <c r="K14">
        <v>2.5974025974025976E-2</v>
      </c>
      <c r="L14">
        <v>7.6086956521739135E-2</v>
      </c>
      <c r="M14">
        <v>9.7222222222222224E-2</v>
      </c>
      <c r="N14" s="1">
        <v>43</v>
      </c>
      <c r="O14" s="1">
        <v>31</v>
      </c>
      <c r="P14" s="1">
        <v>30</v>
      </c>
      <c r="Q14" s="1">
        <v>77</v>
      </c>
      <c r="R14" s="1">
        <v>92</v>
      </c>
      <c r="S14">
        <v>72</v>
      </c>
      <c r="T14">
        <v>9.3023255813953487E-2</v>
      </c>
      <c r="U14">
        <v>9.6774193548387094E-2</v>
      </c>
      <c r="V14">
        <v>0.1</v>
      </c>
    </row>
    <row r="15" spans="1:25" x14ac:dyDescent="0.3">
      <c r="B15" s="1">
        <v>2.1714285709999999</v>
      </c>
      <c r="C15" s="1">
        <v>2.766666667</v>
      </c>
      <c r="D15" s="1">
        <v>2.5862068969999998</v>
      </c>
      <c r="E15">
        <v>1.4821428571428572</v>
      </c>
      <c r="F15">
        <v>2.0329670329670328</v>
      </c>
      <c r="G15">
        <v>1.9305555555555556</v>
      </c>
      <c r="H15" s="1">
        <v>0.114285714</v>
      </c>
      <c r="I15" s="1">
        <v>0.16666666699999999</v>
      </c>
      <c r="J15" s="1">
        <v>0.13793103400000001</v>
      </c>
      <c r="K15">
        <v>3.5714285714285712E-2</v>
      </c>
      <c r="L15">
        <v>7.6923076923076927E-2</v>
      </c>
      <c r="M15">
        <v>6.9444444444444448E-2</v>
      </c>
      <c r="N15" s="1">
        <v>35</v>
      </c>
      <c r="O15" s="1">
        <v>30</v>
      </c>
      <c r="P15" s="1">
        <v>29</v>
      </c>
      <c r="Q15" s="1">
        <v>56</v>
      </c>
      <c r="R15" s="1">
        <v>91</v>
      </c>
      <c r="S15">
        <v>72</v>
      </c>
      <c r="T15">
        <v>5.7142857142857141E-2</v>
      </c>
      <c r="U15">
        <v>0.1</v>
      </c>
      <c r="V15">
        <v>0</v>
      </c>
    </row>
    <row r="16" spans="1:25" x14ac:dyDescent="0.3">
      <c r="B16" s="1">
        <v>2.3235294120000001</v>
      </c>
      <c r="C16" s="1">
        <v>2.3571428569999999</v>
      </c>
      <c r="D16" s="1">
        <v>3.3571428569999999</v>
      </c>
      <c r="E16">
        <v>1.5714285714285714</v>
      </c>
      <c r="F16">
        <v>1.6067415730337078</v>
      </c>
      <c r="G16">
        <v>1.9577464788732395</v>
      </c>
      <c r="H16" s="1">
        <v>8.8235294000000006E-2</v>
      </c>
      <c r="I16" s="1">
        <v>0.10714285699999999</v>
      </c>
      <c r="J16" s="1">
        <v>0.21428571399999999</v>
      </c>
      <c r="K16">
        <v>4.7619047619047616E-2</v>
      </c>
      <c r="L16">
        <v>2.247191011235955E-2</v>
      </c>
      <c r="M16">
        <v>5.6338028169014086E-2</v>
      </c>
      <c r="N16" s="1">
        <v>34</v>
      </c>
      <c r="O16" s="1">
        <v>28</v>
      </c>
      <c r="P16" s="1">
        <v>28</v>
      </c>
      <c r="Q16" s="1">
        <v>21</v>
      </c>
      <c r="R16" s="1">
        <v>89</v>
      </c>
      <c r="S16">
        <v>71</v>
      </c>
      <c r="T16">
        <v>5.8823529411764705E-2</v>
      </c>
      <c r="U16">
        <v>7.1428571428571425E-2</v>
      </c>
      <c r="V16">
        <v>7.1428571428571425E-2</v>
      </c>
    </row>
    <row r="17" spans="2:22" x14ac:dyDescent="0.3">
      <c r="B17" s="1">
        <v>2.1764705879999999</v>
      </c>
      <c r="C17" s="1">
        <v>2.1851851849999999</v>
      </c>
      <c r="D17" s="1">
        <v>3.28</v>
      </c>
      <c r="F17">
        <v>1.9318181818181819</v>
      </c>
      <c r="G17">
        <v>1.5507246376811594</v>
      </c>
      <c r="H17" s="1">
        <v>8.8235294000000006E-2</v>
      </c>
      <c r="I17" s="1">
        <v>0.111111111</v>
      </c>
      <c r="J17" s="1">
        <v>0.16</v>
      </c>
      <c r="L17">
        <v>4.5454545454545456E-2</v>
      </c>
      <c r="M17">
        <v>4.3478260869565216E-2</v>
      </c>
      <c r="N17" s="1">
        <v>34</v>
      </c>
      <c r="O17" s="1">
        <v>27</v>
      </c>
      <c r="P17" s="1">
        <v>25</v>
      </c>
      <c r="R17" s="1">
        <v>88</v>
      </c>
      <c r="S17">
        <v>69</v>
      </c>
      <c r="T17">
        <v>2.9411764705882353E-2</v>
      </c>
      <c r="U17">
        <v>3.7037037037037035E-2</v>
      </c>
      <c r="V17">
        <v>0.12</v>
      </c>
    </row>
    <row r="18" spans="2:22" x14ac:dyDescent="0.3">
      <c r="B18" s="1">
        <v>1.705882353</v>
      </c>
      <c r="C18" s="1">
        <v>2.1481481480000002</v>
      </c>
      <c r="D18" s="1">
        <v>3.04</v>
      </c>
      <c r="F18">
        <v>1.9315068493150684</v>
      </c>
      <c r="G18">
        <v>2.4202898550724639</v>
      </c>
      <c r="H18" s="1">
        <v>8.8235294000000006E-2</v>
      </c>
      <c r="I18" s="1">
        <v>7.4074074000000004E-2</v>
      </c>
      <c r="J18" s="1">
        <v>0.08</v>
      </c>
      <c r="L18">
        <v>5.4794520547945202E-2</v>
      </c>
      <c r="M18">
        <v>0.10144927536231885</v>
      </c>
      <c r="N18" s="1">
        <v>34</v>
      </c>
      <c r="O18" s="1">
        <v>27</v>
      </c>
      <c r="P18" s="1">
        <v>25</v>
      </c>
      <c r="R18" s="1">
        <v>73</v>
      </c>
      <c r="S18">
        <v>69</v>
      </c>
      <c r="T18">
        <v>2.9411764705882353E-2</v>
      </c>
      <c r="U18">
        <v>3.7037037037037035E-2</v>
      </c>
      <c r="V18">
        <v>0.04</v>
      </c>
    </row>
    <row r="19" spans="2:22" x14ac:dyDescent="0.3">
      <c r="B19" s="1">
        <v>2.2424242419999998</v>
      </c>
      <c r="C19" s="1">
        <v>2.423076923</v>
      </c>
      <c r="D19" s="1">
        <v>3.3333333330000001</v>
      </c>
      <c r="F19">
        <v>1.8857142857142857</v>
      </c>
      <c r="G19">
        <v>2.2794117647058822</v>
      </c>
      <c r="H19" s="1">
        <v>9.0909090999999997E-2</v>
      </c>
      <c r="I19" s="1">
        <v>7.6923077000000006E-2</v>
      </c>
      <c r="J19" s="1">
        <v>0.19047618999999999</v>
      </c>
      <c r="L19">
        <v>5.7142857142857141E-2</v>
      </c>
      <c r="M19">
        <v>8.8235294117647065E-2</v>
      </c>
      <c r="N19" s="1">
        <v>33</v>
      </c>
      <c r="O19" s="1">
        <v>26</v>
      </c>
      <c r="P19" s="1">
        <v>21</v>
      </c>
      <c r="R19" s="1">
        <v>70</v>
      </c>
      <c r="S19">
        <v>68</v>
      </c>
      <c r="T19">
        <v>6.0606060606060608E-2</v>
      </c>
      <c r="U19">
        <v>3.8461538461538464E-2</v>
      </c>
      <c r="V19">
        <v>9.5238095238095233E-2</v>
      </c>
    </row>
    <row r="20" spans="2:22" x14ac:dyDescent="0.3">
      <c r="B20" s="1">
        <v>2.1666666669999999</v>
      </c>
      <c r="C20" s="1">
        <v>2.2400000000000002</v>
      </c>
      <c r="D20" s="1">
        <v>2.5263157889999999</v>
      </c>
      <c r="F20">
        <v>1.791044776119403</v>
      </c>
      <c r="G20">
        <v>1.955223880597015</v>
      </c>
      <c r="H20" s="1">
        <v>0.16666666699999999</v>
      </c>
      <c r="I20" s="1">
        <v>0.12</v>
      </c>
      <c r="J20" s="1">
        <v>5.2631578999999998E-2</v>
      </c>
      <c r="L20">
        <v>2.9850746268656716E-2</v>
      </c>
      <c r="M20">
        <v>5.9701492537313432E-2</v>
      </c>
      <c r="N20" s="1">
        <v>30</v>
      </c>
      <c r="O20" s="1">
        <v>25</v>
      </c>
      <c r="P20" s="1">
        <v>19</v>
      </c>
      <c r="R20" s="1">
        <v>67</v>
      </c>
      <c r="S20">
        <v>67</v>
      </c>
      <c r="T20">
        <v>0.1</v>
      </c>
      <c r="U20">
        <v>0.08</v>
      </c>
      <c r="V20">
        <v>0</v>
      </c>
    </row>
    <row r="21" spans="2:22" x14ac:dyDescent="0.3">
      <c r="B21" s="1">
        <v>1.896551724</v>
      </c>
      <c r="C21" s="1">
        <v>2.2400000000000002</v>
      </c>
      <c r="D21" s="1">
        <v>2.5789473680000001</v>
      </c>
      <c r="F21">
        <v>1.6363636363636365</v>
      </c>
      <c r="G21">
        <v>1.7878787878787878</v>
      </c>
      <c r="H21" s="1">
        <v>6.8965517000000004E-2</v>
      </c>
      <c r="I21" s="1">
        <v>0.08</v>
      </c>
      <c r="J21" s="1">
        <v>0.105263158</v>
      </c>
      <c r="L21">
        <v>3.0303030303030304E-2</v>
      </c>
      <c r="M21">
        <v>3.0303030303030304E-2</v>
      </c>
      <c r="N21" s="1">
        <v>29</v>
      </c>
      <c r="O21" s="1">
        <v>25</v>
      </c>
      <c r="P21" s="1">
        <v>19</v>
      </c>
      <c r="R21" s="1">
        <v>66</v>
      </c>
      <c r="S21">
        <v>66</v>
      </c>
      <c r="T21">
        <v>3.4482758620689655E-2</v>
      </c>
      <c r="U21">
        <v>0</v>
      </c>
      <c r="V21">
        <v>5.2631578947368418E-2</v>
      </c>
    </row>
    <row r="22" spans="2:22" x14ac:dyDescent="0.3">
      <c r="B22" s="1">
        <v>1.827586207</v>
      </c>
      <c r="C22" s="1">
        <v>2.5</v>
      </c>
      <c r="D22" s="1">
        <v>2.5263157889999999</v>
      </c>
      <c r="F22">
        <v>2.046875</v>
      </c>
      <c r="G22">
        <v>1.96875</v>
      </c>
      <c r="H22" s="1">
        <v>0.10344827600000001</v>
      </c>
      <c r="I22" s="1">
        <v>0.125</v>
      </c>
      <c r="J22" s="1">
        <v>5.2631578999999998E-2</v>
      </c>
      <c r="L22">
        <v>4.6875E-2</v>
      </c>
      <c r="M22">
        <v>3.125E-2</v>
      </c>
      <c r="N22" s="1">
        <v>29</v>
      </c>
      <c r="O22" s="1">
        <v>24</v>
      </c>
      <c r="P22" s="1">
        <v>19</v>
      </c>
      <c r="R22" s="1">
        <v>64</v>
      </c>
      <c r="S22">
        <v>64</v>
      </c>
      <c r="T22">
        <v>6.8965517241379309E-2</v>
      </c>
      <c r="U22">
        <v>8.3333333333333329E-2</v>
      </c>
      <c r="V22">
        <v>0</v>
      </c>
    </row>
    <row r="23" spans="2:22" x14ac:dyDescent="0.3">
      <c r="B23" s="1">
        <v>1.407407407</v>
      </c>
      <c r="C23" s="1">
        <v>2.5833333330000001</v>
      </c>
      <c r="D23" s="1">
        <v>3.0526315789999998</v>
      </c>
      <c r="F23">
        <v>2.3898305084745761</v>
      </c>
      <c r="G23">
        <v>1.8225806451612903</v>
      </c>
      <c r="H23" s="1">
        <v>3.7037037000000002E-2</v>
      </c>
      <c r="I23" s="1">
        <v>4.1666666999999998E-2</v>
      </c>
      <c r="J23" s="1">
        <v>0.15789473700000001</v>
      </c>
      <c r="L23">
        <v>8.4745762711864403E-2</v>
      </c>
      <c r="M23">
        <v>6.4516129032258063E-2</v>
      </c>
      <c r="N23" s="1">
        <v>27</v>
      </c>
      <c r="O23" s="1">
        <v>24</v>
      </c>
      <c r="P23" s="1">
        <v>19</v>
      </c>
      <c r="R23" s="1">
        <v>59</v>
      </c>
      <c r="S23">
        <v>62</v>
      </c>
      <c r="T23">
        <v>0</v>
      </c>
      <c r="U23">
        <v>0</v>
      </c>
      <c r="V23">
        <v>0.10526315789473684</v>
      </c>
    </row>
    <row r="24" spans="2:22" x14ac:dyDescent="0.3">
      <c r="B24" s="1">
        <v>1.56</v>
      </c>
      <c r="C24" s="1">
        <v>2.2083333330000001</v>
      </c>
      <c r="D24" s="1">
        <v>2.388888889</v>
      </c>
      <c r="F24">
        <v>2.08</v>
      </c>
      <c r="G24">
        <v>2.2456140350877192</v>
      </c>
      <c r="H24" s="1">
        <v>0.08</v>
      </c>
      <c r="I24" s="1">
        <v>8.3333332999999996E-2</v>
      </c>
      <c r="J24" s="1">
        <v>5.5555555999999999E-2</v>
      </c>
      <c r="L24">
        <v>0.08</v>
      </c>
      <c r="M24">
        <v>7.0175438596491224E-2</v>
      </c>
      <c r="N24" s="1">
        <v>25</v>
      </c>
      <c r="O24" s="1">
        <v>24</v>
      </c>
      <c r="P24" s="1">
        <v>18</v>
      </c>
      <c r="R24" s="1">
        <v>50</v>
      </c>
      <c r="S24">
        <v>57</v>
      </c>
      <c r="T24">
        <v>0.04</v>
      </c>
      <c r="U24">
        <v>4.1666666666666664E-2</v>
      </c>
      <c r="V24">
        <v>0</v>
      </c>
    </row>
    <row r="25" spans="2:22" x14ac:dyDescent="0.3">
      <c r="B25" s="1">
        <v>2.16</v>
      </c>
      <c r="C25" s="1">
        <v>3.19047619</v>
      </c>
      <c r="D25" s="1">
        <v>3.388888889</v>
      </c>
      <c r="F25">
        <v>1.5348837209302326</v>
      </c>
      <c r="G25">
        <v>1.9473684210526316</v>
      </c>
      <c r="H25" s="1">
        <v>0.08</v>
      </c>
      <c r="I25" s="1">
        <v>0.14285714299999999</v>
      </c>
      <c r="J25" s="1">
        <v>0.111111111</v>
      </c>
      <c r="L25">
        <v>2.3255813953488372E-2</v>
      </c>
      <c r="M25">
        <v>7.0175438596491224E-2</v>
      </c>
      <c r="N25" s="1">
        <v>25</v>
      </c>
      <c r="O25" s="1">
        <v>21</v>
      </c>
      <c r="P25" s="1">
        <v>18</v>
      </c>
      <c r="R25" s="1">
        <v>43</v>
      </c>
      <c r="S25">
        <v>57</v>
      </c>
      <c r="T25">
        <v>0.04</v>
      </c>
      <c r="U25">
        <v>9.5238095238095233E-2</v>
      </c>
      <c r="V25">
        <v>5.5555555555555552E-2</v>
      </c>
    </row>
    <row r="26" spans="2:22" x14ac:dyDescent="0.3">
      <c r="B26" s="1">
        <v>2.44</v>
      </c>
      <c r="C26" s="1">
        <v>2.35</v>
      </c>
      <c r="D26" s="1">
        <v>4.1111111109999996</v>
      </c>
      <c r="F26">
        <v>1.9047619047619047</v>
      </c>
      <c r="G26">
        <v>2.0196078431372548</v>
      </c>
      <c r="H26" s="1">
        <v>0.12</v>
      </c>
      <c r="I26" s="1">
        <v>0.05</v>
      </c>
      <c r="J26" s="1">
        <v>0.222222222</v>
      </c>
      <c r="L26">
        <v>2.3809523809523808E-2</v>
      </c>
      <c r="M26">
        <v>7.8431372549019607E-2</v>
      </c>
      <c r="N26" s="1">
        <v>25</v>
      </c>
      <c r="O26" s="1">
        <v>20</v>
      </c>
      <c r="P26" s="1">
        <v>18</v>
      </c>
      <c r="R26" s="1">
        <v>42</v>
      </c>
      <c r="S26">
        <v>51</v>
      </c>
      <c r="T26">
        <v>0</v>
      </c>
      <c r="U26">
        <v>0</v>
      </c>
      <c r="V26">
        <v>5.5555555555555552E-2</v>
      </c>
    </row>
    <row r="27" spans="2:22" x14ac:dyDescent="0.3">
      <c r="B27" s="1">
        <v>2.1666666669999999</v>
      </c>
      <c r="C27" s="1">
        <v>2.6666666669999999</v>
      </c>
      <c r="D27" s="1">
        <v>3.4444444440000002</v>
      </c>
      <c r="F27">
        <v>2.5714285714285716</v>
      </c>
      <c r="G27">
        <v>1.7291666666666667</v>
      </c>
      <c r="H27" s="1">
        <v>0.125</v>
      </c>
      <c r="I27" s="1">
        <v>0.111111111</v>
      </c>
      <c r="J27" s="1">
        <v>0.16666666699999999</v>
      </c>
      <c r="L27">
        <v>7.1428571428571425E-2</v>
      </c>
      <c r="M27">
        <v>6.25E-2</v>
      </c>
      <c r="N27" s="1">
        <v>24</v>
      </c>
      <c r="O27" s="1">
        <v>18</v>
      </c>
      <c r="P27" s="1">
        <v>18</v>
      </c>
      <c r="R27" s="1">
        <v>42</v>
      </c>
      <c r="S27">
        <v>48</v>
      </c>
      <c r="T27">
        <v>8.3333333333333329E-2</v>
      </c>
      <c r="U27">
        <v>5.5555555555555552E-2</v>
      </c>
      <c r="V27">
        <v>0.1111111111111111</v>
      </c>
    </row>
    <row r="28" spans="2:22" x14ac:dyDescent="0.3">
      <c r="B28" s="1">
        <v>2.5</v>
      </c>
      <c r="C28" s="1">
        <v>2.411764706</v>
      </c>
      <c r="D28" s="1">
        <v>3.1176470589999998</v>
      </c>
      <c r="F28">
        <v>2.1</v>
      </c>
      <c r="G28">
        <v>2.4042553191489362</v>
      </c>
      <c r="H28" s="1">
        <v>0.18181818199999999</v>
      </c>
      <c r="I28" s="1">
        <v>5.8823528999999999E-2</v>
      </c>
      <c r="J28" s="1">
        <v>0.17647058800000001</v>
      </c>
      <c r="L28">
        <v>7.4999999999999997E-2</v>
      </c>
      <c r="M28">
        <v>8.5106382978723402E-2</v>
      </c>
      <c r="N28" s="1">
        <v>22</v>
      </c>
      <c r="O28" s="1">
        <v>17</v>
      </c>
      <c r="P28" s="1">
        <v>17</v>
      </c>
      <c r="R28" s="1">
        <v>40</v>
      </c>
      <c r="S28">
        <v>47</v>
      </c>
      <c r="T28">
        <v>4.5454545454545456E-2</v>
      </c>
      <c r="U28">
        <v>0</v>
      </c>
      <c r="V28">
        <v>5.8823529411764705E-2</v>
      </c>
    </row>
    <row r="29" spans="2:22" x14ac:dyDescent="0.3">
      <c r="B29" s="1">
        <v>2.7272727269999999</v>
      </c>
      <c r="C29" s="1">
        <v>3.9375</v>
      </c>
      <c r="D29" s="1">
        <v>3.4705882350000001</v>
      </c>
      <c r="F29">
        <v>1.5128205128205128</v>
      </c>
      <c r="G29">
        <v>1.8510638297872339</v>
      </c>
      <c r="H29" s="1">
        <v>0.13636363600000001</v>
      </c>
      <c r="I29" s="1">
        <v>0.1875</v>
      </c>
      <c r="J29" s="1">
        <v>0.117647059</v>
      </c>
      <c r="L29">
        <v>2.564102564102564E-2</v>
      </c>
      <c r="M29">
        <v>4.2553191489361701E-2</v>
      </c>
      <c r="N29" s="1">
        <v>22</v>
      </c>
      <c r="O29" s="1">
        <v>16</v>
      </c>
      <c r="P29" s="1">
        <v>17</v>
      </c>
      <c r="R29" s="1">
        <v>39</v>
      </c>
      <c r="S29">
        <v>47</v>
      </c>
      <c r="T29">
        <v>9.0909090909090912E-2</v>
      </c>
      <c r="U29">
        <v>0.125</v>
      </c>
      <c r="V29">
        <v>5.8823529411764705E-2</v>
      </c>
    </row>
    <row r="30" spans="2:22" x14ac:dyDescent="0.3">
      <c r="B30" s="1">
        <v>1.5</v>
      </c>
      <c r="C30" s="1">
        <v>3.6428571430000001</v>
      </c>
      <c r="D30" s="1">
        <v>3.375</v>
      </c>
      <c r="F30">
        <v>2.5</v>
      </c>
      <c r="G30">
        <v>1.7619047619047619</v>
      </c>
      <c r="H30" s="1">
        <v>0.05</v>
      </c>
      <c r="I30" s="1">
        <v>0.14285714299999999</v>
      </c>
      <c r="J30" s="1">
        <v>0.1875</v>
      </c>
      <c r="L30">
        <v>9.375E-2</v>
      </c>
      <c r="M30">
        <v>7.1428571428571425E-2</v>
      </c>
      <c r="N30" s="1">
        <v>20</v>
      </c>
      <c r="O30" s="1">
        <v>14</v>
      </c>
      <c r="P30" s="1">
        <v>16</v>
      </c>
      <c r="R30" s="1">
        <v>32</v>
      </c>
      <c r="S30">
        <v>42</v>
      </c>
      <c r="T30">
        <v>0</v>
      </c>
      <c r="U30">
        <v>0.14285714285714285</v>
      </c>
      <c r="V30">
        <v>0</v>
      </c>
    </row>
    <row r="31" spans="2:22" x14ac:dyDescent="0.3">
      <c r="B31" s="1">
        <v>2.2105263160000002</v>
      </c>
      <c r="C31" s="1">
        <v>3</v>
      </c>
      <c r="D31" s="1">
        <v>3.2142857139999998</v>
      </c>
      <c r="F31">
        <v>2.6086956521739131</v>
      </c>
      <c r="G31">
        <v>2.3333333333333335</v>
      </c>
      <c r="H31" s="1">
        <v>0.105263158</v>
      </c>
      <c r="I31" s="1">
        <v>0.14285714299999999</v>
      </c>
      <c r="J31" s="1">
        <v>0.14285714299999999</v>
      </c>
      <c r="L31">
        <v>8.6956521739130432E-2</v>
      </c>
      <c r="M31">
        <v>7.1428571428571425E-2</v>
      </c>
      <c r="N31" s="1">
        <v>19</v>
      </c>
      <c r="O31" s="1">
        <v>14</v>
      </c>
      <c r="P31" s="1">
        <v>14</v>
      </c>
      <c r="R31" s="1">
        <v>23</v>
      </c>
      <c r="S31">
        <v>42</v>
      </c>
      <c r="T31">
        <v>0</v>
      </c>
      <c r="U31">
        <v>0</v>
      </c>
      <c r="V31">
        <v>7.1428571428571425E-2</v>
      </c>
    </row>
    <row r="32" spans="2:22" x14ac:dyDescent="0.3">
      <c r="B32" s="1">
        <v>2.4375</v>
      </c>
      <c r="C32" s="1">
        <v>2.8571428569999999</v>
      </c>
      <c r="D32" s="1">
        <v>4.7857142860000002</v>
      </c>
      <c r="F32">
        <v>1.9130434782608696</v>
      </c>
      <c r="G32">
        <v>2.9444444444444446</v>
      </c>
      <c r="H32" s="1">
        <v>0.1875</v>
      </c>
      <c r="I32" s="1">
        <v>7.1428570999999996E-2</v>
      </c>
      <c r="J32" s="1">
        <v>0.21428571399999999</v>
      </c>
      <c r="L32">
        <v>4.3478260869565216E-2</v>
      </c>
      <c r="M32">
        <v>8.3333333333333329E-2</v>
      </c>
      <c r="N32" s="1">
        <v>16</v>
      </c>
      <c r="O32" s="1">
        <v>14</v>
      </c>
      <c r="P32" s="1">
        <v>14</v>
      </c>
      <c r="R32" s="1">
        <v>23</v>
      </c>
      <c r="S32">
        <v>36</v>
      </c>
      <c r="T32">
        <v>0</v>
      </c>
      <c r="U32">
        <v>0</v>
      </c>
      <c r="V32">
        <v>7.1428571428571425E-2</v>
      </c>
    </row>
    <row r="33" spans="1:22" x14ac:dyDescent="0.3">
      <c r="B33" s="1">
        <v>2.75</v>
      </c>
      <c r="C33" s="1">
        <v>3.0714285710000002</v>
      </c>
      <c r="D33" s="1">
        <v>3.75</v>
      </c>
      <c r="F33">
        <v>2.4</v>
      </c>
      <c r="G33">
        <v>1.696969696969697</v>
      </c>
      <c r="H33" s="1">
        <v>0.125</v>
      </c>
      <c r="I33" s="1">
        <v>0.14285714299999999</v>
      </c>
      <c r="J33" s="1">
        <v>8.3333332999999996E-2</v>
      </c>
      <c r="L33">
        <v>0.15</v>
      </c>
      <c r="M33">
        <v>3.0303030303030304E-2</v>
      </c>
      <c r="N33" s="1">
        <v>16</v>
      </c>
      <c r="O33" s="1">
        <v>14</v>
      </c>
      <c r="P33" s="1">
        <v>12</v>
      </c>
      <c r="R33" s="1">
        <v>20</v>
      </c>
      <c r="S33">
        <v>33</v>
      </c>
      <c r="T33">
        <v>0</v>
      </c>
      <c r="U33">
        <v>7.1428571428571425E-2</v>
      </c>
      <c r="V33">
        <v>0</v>
      </c>
    </row>
    <row r="34" spans="1:22" x14ac:dyDescent="0.3">
      <c r="B34" s="1">
        <v>3.1818181820000002</v>
      </c>
      <c r="C34" s="1">
        <v>3.2727272730000001</v>
      </c>
      <c r="D34" s="1">
        <v>3.8333333330000001</v>
      </c>
      <c r="G34">
        <v>2.1333333333333333</v>
      </c>
      <c r="H34" s="1">
        <v>0.18181818199999999</v>
      </c>
      <c r="I34" s="1">
        <v>0.18181818199999999</v>
      </c>
      <c r="J34" s="1">
        <v>0.16666666699999999</v>
      </c>
      <c r="M34">
        <v>3.3333333333333333E-2</v>
      </c>
      <c r="N34" s="1">
        <v>11</v>
      </c>
      <c r="O34" s="1">
        <v>11</v>
      </c>
      <c r="P34" s="1">
        <v>12</v>
      </c>
      <c r="S34">
        <v>30</v>
      </c>
      <c r="T34">
        <v>0</v>
      </c>
      <c r="U34">
        <v>9.0909090909090912E-2</v>
      </c>
      <c r="V34">
        <v>8.3333333333333329E-2</v>
      </c>
    </row>
    <row r="35" spans="1:22" x14ac:dyDescent="0.3">
      <c r="B35" s="1">
        <v>3.125</v>
      </c>
      <c r="C35" s="1">
        <v>2.888888889</v>
      </c>
      <c r="D35" s="1">
        <v>4.4545454549999999</v>
      </c>
      <c r="G35">
        <v>2.1176470588235294</v>
      </c>
      <c r="H35" s="1">
        <v>0.125</v>
      </c>
      <c r="I35" s="1">
        <v>0.111111111</v>
      </c>
      <c r="J35" s="1">
        <v>0.27272727299999999</v>
      </c>
      <c r="M35">
        <v>5.8823529411764705E-2</v>
      </c>
      <c r="N35" s="1">
        <v>8</v>
      </c>
      <c r="O35" s="1">
        <v>9</v>
      </c>
      <c r="P35" s="1">
        <v>11</v>
      </c>
      <c r="S35">
        <v>17</v>
      </c>
      <c r="T35">
        <v>0</v>
      </c>
      <c r="U35">
        <v>0</v>
      </c>
      <c r="V35">
        <v>0</v>
      </c>
    </row>
    <row r="36" spans="1:22" x14ac:dyDescent="0.3">
      <c r="B36" s="1"/>
      <c r="C36" s="1"/>
      <c r="D36" s="1"/>
      <c r="H36" s="1"/>
      <c r="I36" s="1"/>
      <c r="J36" s="1"/>
      <c r="N36" s="1"/>
      <c r="O36" s="1"/>
      <c r="P36" s="1"/>
    </row>
    <row r="37" spans="1:22" x14ac:dyDescent="0.3">
      <c r="A37" t="s">
        <v>11</v>
      </c>
      <c r="B37" s="1">
        <f>AVERAGE(B4:B35)</f>
        <v>2.1148185787187499</v>
      </c>
      <c r="C37" s="1">
        <f t="shared" ref="C37:S37" si="0">AVERAGE(C4:C35)</f>
        <v>2.6493259620312499</v>
      </c>
      <c r="D37" s="1">
        <f t="shared" si="0"/>
        <v>3.1178312345624999</v>
      </c>
      <c r="E37" s="1">
        <f t="shared" si="0"/>
        <v>1.3001910620322639</v>
      </c>
      <c r="F37" s="1">
        <f t="shared" si="0"/>
        <v>1.9474428074975141</v>
      </c>
      <c r="G37" s="1">
        <f t="shared" si="0"/>
        <v>1.9813814797350466</v>
      </c>
      <c r="H37" s="1">
        <f t="shared" si="0"/>
        <v>0.10800485899999998</v>
      </c>
      <c r="I37" s="1">
        <f t="shared" si="0"/>
        <v>0.110175943875</v>
      </c>
      <c r="J37" s="1">
        <f t="shared" si="0"/>
        <v>0.14153631443749998</v>
      </c>
      <c r="K37" s="1">
        <f t="shared" si="0"/>
        <v>2.9331922397866448E-2</v>
      </c>
      <c r="L37" s="1">
        <f t="shared" si="0"/>
        <v>5.5207954602673644E-2</v>
      </c>
      <c r="M37" s="1">
        <f t="shared" si="0"/>
        <v>5.7327647307231513E-2</v>
      </c>
      <c r="N37" s="1">
        <f t="shared" si="0"/>
        <v>35.4375</v>
      </c>
      <c r="O37" s="1">
        <f t="shared" si="0"/>
        <v>26.84375</v>
      </c>
      <c r="P37" s="1">
        <f t="shared" si="0"/>
        <v>25.03125</v>
      </c>
      <c r="Q37" s="1">
        <f t="shared" si="0"/>
        <v>182.30769230769232</v>
      </c>
      <c r="R37" s="1">
        <f t="shared" si="0"/>
        <v>86.533333333333331</v>
      </c>
      <c r="S37" s="1">
        <f t="shared" si="0"/>
        <v>70.84375</v>
      </c>
    </row>
    <row r="38" spans="1:22" x14ac:dyDescent="0.3">
      <c r="A38" t="s">
        <v>9</v>
      </c>
      <c r="B38">
        <f>_xlfn.STDEV.S(B4:B35)</f>
        <v>0.4524401046237041</v>
      </c>
      <c r="C38">
        <f>_xlfn.STDEV.S(C4:C35)</f>
        <v>0.47364394297563978</v>
      </c>
      <c r="D38">
        <f>_xlfn.STDEV.S(D4:D35)</f>
        <v>0.61584352425084654</v>
      </c>
      <c r="E38">
        <f>_xlfn.STDEV.S(E4:E16)</f>
        <v>0.19716105971075396</v>
      </c>
      <c r="F38">
        <f>_xlfn.STDEV.S(F4:F33)</f>
        <v>0.31845465086122043</v>
      </c>
      <c r="G38">
        <f>_xlfn.STDEV.S(G4:G35)</f>
        <v>0.33064859763600635</v>
      </c>
      <c r="H38">
        <f>_xlfn.STDEV.S(H4:H35)</f>
        <v>3.7814037105978533E-2</v>
      </c>
      <c r="I38">
        <f>_xlfn.STDEV.S(I4:I35)</f>
        <v>4.026803555228449E-2</v>
      </c>
      <c r="J38">
        <f>_xlfn.STDEV.S(J4:J35)</f>
        <v>5.1562530387170499E-2</v>
      </c>
      <c r="K38">
        <f>_xlfn.STDEV.S(K4:K16)</f>
        <v>1.3734299588758768E-2</v>
      </c>
      <c r="L38">
        <f>_xlfn.STDEV.S(L4:L33)</f>
        <v>2.8412647875824943E-2</v>
      </c>
      <c r="M38">
        <f>_xlfn.STDEV.S(M4:M35)</f>
        <v>2.2636277542669607E-2</v>
      </c>
      <c r="N38">
        <f>_xlfn.STDEV.S(N4:N35)</f>
        <v>18.19240802305784</v>
      </c>
      <c r="O38">
        <f>_xlfn.STDEV.S(O4:O35)</f>
        <v>10.972426952402392</v>
      </c>
      <c r="P38">
        <f>_xlfn.STDEV.S(P4:P35)</f>
        <v>10.262629905664785</v>
      </c>
      <c r="Q38">
        <f>_xlfn.STDEV.S(Q4:Q16)</f>
        <v>157.78381022535478</v>
      </c>
      <c r="R38">
        <f>_xlfn.STDEV.S(R4:R33)</f>
        <v>60.761678788488084</v>
      </c>
      <c r="S38">
        <f>_xlfn.STDEV.S(S4:S35)</f>
        <v>34.698804827423274</v>
      </c>
    </row>
    <row r="40" spans="1:22" x14ac:dyDescent="0.3">
      <c r="A40" t="s">
        <v>2</v>
      </c>
    </row>
    <row r="41" spans="1:22" x14ac:dyDescent="0.3">
      <c r="A41">
        <v>1</v>
      </c>
      <c r="C41">
        <f>_xlfn.T.TEST(B4:B35,C4:C35,2,3)</f>
        <v>2.0233889495516788E-5</v>
      </c>
      <c r="D41">
        <f>_xlfn.T.TEST(B4:B35,D4:D35,2,3)</f>
        <v>6.281836208189696E-10</v>
      </c>
      <c r="F41">
        <f>_xlfn.T.TEST(E4:E16,F4:F33,2,3)</f>
        <v>1.3181299723130056E-9</v>
      </c>
      <c r="G41">
        <f>_xlfn.T.TEST(E4:E16,G4:G35,2,3)</f>
        <v>3.3563156634091044E-10</v>
      </c>
      <c r="I41" s="2">
        <f>_xlfn.T.TEST(H4:'t-test'!H35,I4:I35,2,3)</f>
        <v>0.82478945234884038</v>
      </c>
      <c r="J41">
        <f>_xlfn.T.TEST(H4:H35,J4:J35,2,3)</f>
        <v>4.3990965636089138E-3</v>
      </c>
      <c r="L41">
        <f>_xlfn.T.TEST(K4:K16,L4:L33,2,3)</f>
        <v>2.4731708556802949E-4</v>
      </c>
      <c r="M41">
        <f>_xlfn.T.TEST(K4:K16,M4:M35,2,3)</f>
        <v>1.2156764715316925E-5</v>
      </c>
      <c r="O41">
        <f>_xlfn.T.TEST(N4:N35,O4:O35,2,3)</f>
        <v>2.6309382111582638E-2</v>
      </c>
      <c r="P41">
        <f>_xlfn.T.TEST(N4:N35,P4:P35,2,3)</f>
        <v>6.948538200665399E-3</v>
      </c>
      <c r="R41" s="2">
        <f>_xlfn.T.TEST(Q4:Q16,R4:R33,2,3)</f>
        <v>5.2819233987273312E-2</v>
      </c>
      <c r="S41">
        <f>_xlfn.T.TEST(Q4:Q16,S4:S35,2,3)</f>
        <v>2.6143266431277824E-2</v>
      </c>
      <c r="U41" s="2">
        <f>_xlfn.T.TEST(T4:T35,U4:U35,2,3)</f>
        <v>0.80137737028936518</v>
      </c>
      <c r="V41" s="2">
        <f>_xlfn.T.TEST(T4:T35,V4:V35,2,3)</f>
        <v>0.49666855855510328</v>
      </c>
    </row>
    <row r="42" spans="1:22" x14ac:dyDescent="0.3">
      <c r="A42">
        <v>2</v>
      </c>
      <c r="D42">
        <f>_xlfn.T.TEST(C4:C35,D4:D35,2,3)</f>
        <v>1.1818991880668394E-3</v>
      </c>
      <c r="G42" s="2">
        <f>_xlfn.T.TEST(F4:F33,G4:G35,2,3)</f>
        <v>0.68205752490293936</v>
      </c>
      <c r="J42">
        <f>_xlfn.T.TEST(I4:I35,J4:J35,2,3)</f>
        <v>8.7745465766958259E-3</v>
      </c>
      <c r="M42" s="2">
        <f>_xlfn.T.TEST(L4:L33,M4:M35,2,3)</f>
        <v>0.74750071949852648</v>
      </c>
      <c r="P42" s="2">
        <f>_xlfn.T.TEST(O4:O35,P4:P35,2,3)</f>
        <v>0.49750644936034283</v>
      </c>
      <c r="S42" s="2">
        <f>_xlfn.T.TEST(R4:R33,S4:S35,2,3)</f>
        <v>0.22218102029428813</v>
      </c>
      <c r="V42" s="2">
        <f>_xlfn.T.TEST(U4:U35,V4:V35,2,3)</f>
        <v>0.64979976565794162</v>
      </c>
    </row>
    <row r="43" spans="1:22" x14ac:dyDescent="0.3">
      <c r="A43">
        <v>3</v>
      </c>
    </row>
    <row r="44" spans="1:22" x14ac:dyDescent="0.3">
      <c r="A44" t="s">
        <v>4</v>
      </c>
    </row>
    <row r="45" spans="1:22" x14ac:dyDescent="0.3">
      <c r="A45">
        <v>1</v>
      </c>
      <c r="B45">
        <f>_xlfn.T.TEST(B4:B35,E4:E16,2,3)</f>
        <v>1.3416108922384529E-10</v>
      </c>
      <c r="C45">
        <f>_xlfn.T.TEST(C4:C35,E4:E16,2,3)</f>
        <v>4.8971397590795929E-17</v>
      </c>
      <c r="D45">
        <f>_xlfn.T.TEST(D4:D35,E4:E16,2,3)</f>
        <v>2.470392254806103E-18</v>
      </c>
      <c r="H45">
        <f>_xlfn.T.TEST(H4:H35,K4:K16,2,3)</f>
        <v>4.6677830431074936E-13</v>
      </c>
      <c r="I45">
        <f>_xlfn.T.TEST(I4:I35,K4:K16,2,3)</f>
        <v>9.8791451278168969E-13</v>
      </c>
      <c r="J45">
        <f>_xlfn.T.TEST(J4:J35,K4:K16,2,3)</f>
        <v>4.9013162480758622E-14</v>
      </c>
      <c r="N45">
        <f>_xlfn.T.TEST(N4:N35,Q4:Q16,2,3)</f>
        <v>5.7310563103808356E-3</v>
      </c>
      <c r="O45">
        <f>_xlfn.T.TEST(O4:O35,Q4:Q16,2,3)</f>
        <v>3.980497276682652E-3</v>
      </c>
      <c r="P45">
        <f>_xlfn.T.TEST(P4:P35,Q4:Q16,2,3)</f>
        <v>3.6882717688166101E-3</v>
      </c>
    </row>
    <row r="46" spans="1:22" x14ac:dyDescent="0.3">
      <c r="A46">
        <v>2</v>
      </c>
      <c r="C46">
        <f>_xlfn.T.TEST(C4:C35,F4:F33,2,3)</f>
        <v>6.0347338346832905E-9</v>
      </c>
      <c r="D46">
        <f>_xlfn.T.TEST(D4:D35,F4:F33,2,3)</f>
        <v>1.6868474990368263E-12</v>
      </c>
      <c r="I46">
        <f>_xlfn.T.TEST(I4:I35,L4:L33,2,3)</f>
        <v>6.2179834298252316E-8</v>
      </c>
      <c r="J46">
        <f>_xlfn.T.TEST(J4:J35,L4:L33,2,3)</f>
        <v>8.6677136829179384E-11</v>
      </c>
      <c r="O46">
        <f>_xlfn.T.TEST(O4:O35,R4:R33,2,3)</f>
        <v>9.2738387181658796E-6</v>
      </c>
      <c r="P46">
        <f>_xlfn.T.TEST(P4:P35,R4:R33,2,3)</f>
        <v>5.8169026448009815E-6</v>
      </c>
    </row>
    <row r="47" spans="1:22" x14ac:dyDescent="0.3">
      <c r="A47">
        <v>3</v>
      </c>
      <c r="D47">
        <f>_xlfn.T.TEST(D4:D35,G4:G35,2,3)</f>
        <v>4.0198844935020575E-12</v>
      </c>
      <c r="J47">
        <f>_xlfn.T.TEST(J4:J35,M4:M35,2,3)</f>
        <v>1.1707989170073248E-10</v>
      </c>
      <c r="P47">
        <f>_xlfn.T.TEST(P4:P35,S4:S35,2,3)</f>
        <v>1.8980632494827537E-8</v>
      </c>
    </row>
  </sheetData>
  <mergeCells count="12">
    <mergeCell ref="T1:Y1"/>
    <mergeCell ref="T2:V2"/>
    <mergeCell ref="W2:Y2"/>
    <mergeCell ref="A1:G1"/>
    <mergeCell ref="H1:M1"/>
    <mergeCell ref="N1:S1"/>
    <mergeCell ref="B2:D2"/>
    <mergeCell ref="E2:G2"/>
    <mergeCell ref="H2:J2"/>
    <mergeCell ref="K2:M2"/>
    <mergeCell ref="N2:P2"/>
    <mergeCell ref="Q2:S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t-test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Chunyu Chen</dc:creator>
  <cp:lastModifiedBy>Chunyu Chen</cp:lastModifiedBy>
  <dcterms:created xsi:type="dcterms:W3CDTF">2015-06-05T18:19:34Z</dcterms:created>
  <dcterms:modified xsi:type="dcterms:W3CDTF">2022-02-17T09:52:46Z</dcterms:modified>
</cp:coreProperties>
</file>